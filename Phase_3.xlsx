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nilasviridov/Downloads/"/>
    </mc:Choice>
  </mc:AlternateContent>
  <xr:revisionPtr revIDLastSave="0" documentId="13_ncr:1_{8714B2AB-75F1-5040-A4E8-8FA2E0DAF2C1}" xr6:coauthVersionLast="47" xr6:coauthVersionMax="47" xr10:uidLastSave="{00000000-0000-0000-0000-000000000000}"/>
  <bookViews>
    <workbookView xWindow="0" yWindow="680" windowWidth="14720" windowHeight="16880" activeTab="1" xr2:uid="{00000000-000D-0000-FFFF-FFFF00000000}"/>
  </bookViews>
  <sheets>
    <sheet name="Вводные данные" sheetId="1" r:id="rId1"/>
    <sheet name="Основные вычисления" sheetId="2" r:id="rId2"/>
    <sheet name="Итог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</calcChain>
</file>

<file path=xl/sharedStrings.xml><?xml version="1.0" encoding="utf-8"?>
<sst xmlns="http://schemas.openxmlformats.org/spreadsheetml/2006/main" count="363" uniqueCount="311">
  <si>
    <t>ID UC</t>
  </si>
  <si>
    <t>Название Use Case</t>
  </si>
  <si>
    <t>Актор</t>
  </si>
  <si>
    <t>Цель</t>
  </si>
  <si>
    <t>Основной сценарий</t>
  </si>
  <si>
    <t>UC-01</t>
  </si>
  <si>
    <t>UC-02</t>
  </si>
  <si>
    <t>UC-03</t>
  </si>
  <si>
    <t>UC-04</t>
  </si>
  <si>
    <t>UC-05</t>
  </si>
  <si>
    <t>UC-06</t>
  </si>
  <si>
    <t>UC-07</t>
  </si>
  <si>
    <t>UC-08</t>
  </si>
  <si>
    <t>UC-09</t>
  </si>
  <si>
    <t>UC-10</t>
  </si>
  <si>
    <t>UC-11</t>
  </si>
  <si>
    <t>UC-12</t>
  </si>
  <si>
    <t>Параметр</t>
  </si>
  <si>
    <t>Значение</t>
  </si>
  <si>
    <t>Обоснование</t>
  </si>
  <si>
    <t>Трудозатраты MVP</t>
  </si>
  <si>
    <t>Рекомендуемая оценка</t>
  </si>
  <si>
    <t>С запасом 15% на риски</t>
  </si>
  <si>
    <t>Команда для разработки</t>
  </si>
  <si>
    <t>Срок MVP</t>
  </si>
  <si>
    <t>3.0 календарных месяца</t>
  </si>
  <si>
    <t>Бюджет (ориентировочно)</t>
  </si>
  <si>
    <t>Критерий из Фазы 1</t>
  </si>
  <si>
    <t>Оценка в Фазе 1</t>
  </si>
  <si>
    <t>Результат в Фазе 3</t>
  </si>
  <si>
    <t>Соответствие</t>
  </si>
  <si>
    <t>Высокая оценка</t>
  </si>
  <si>
    <t>Процесс</t>
  </si>
  <si>
    <t>Тип</t>
  </si>
  <si>
    <t>Описание</t>
  </si>
  <si>
    <t>Entries</t>
  </si>
  <si>
    <t>Exits</t>
  </si>
  <si>
    <t>Reads</t>
  </si>
  <si>
    <t>Writes</t>
  </si>
  <si>
    <t>CFP</t>
  </si>
  <si>
    <t>E</t>
  </si>
  <si>
    <t>Расшифровка</t>
  </si>
  <si>
    <t>Примеры в проекте</t>
  </si>
  <si>
    <t>E (Entry)</t>
  </si>
  <si>
    <t>Ввод данных, инициируемый пользователем</t>
  </si>
  <si>
    <t>R (Read)</t>
  </si>
  <si>
    <t>Чтение данных из хранилища</t>
  </si>
  <si>
    <t>W (Write)</t>
  </si>
  <si>
    <t>R</t>
  </si>
  <si>
    <t>W</t>
  </si>
  <si>
    <t>User Story</t>
  </si>
  <si>
    <t>Use Case</t>
  </si>
  <si>
    <t>Story Points</t>
  </si>
  <si>
    <t>Оценка сложности</t>
  </si>
  <si>
    <t>UC01</t>
  </si>
  <si>
    <t>Итого</t>
  </si>
  <si>
    <t>UC02</t>
  </si>
  <si>
    <t>UC03</t>
  </si>
  <si>
    <t>UC04</t>
  </si>
  <si>
    <t>Категория</t>
  </si>
  <si>
    <t>Вес</t>
  </si>
  <si>
    <t>Кол-во</t>
  </si>
  <si>
    <t>Общий вес</t>
  </si>
  <si>
    <t>UC05</t>
  </si>
  <si>
    <t>Акторы (UAW)</t>
  </si>
  <si>
    <t>UC06</t>
  </si>
  <si>
    <t>UC07</t>
  </si>
  <si>
    <t>Итого UAW</t>
  </si>
  <si>
    <t>UC08</t>
  </si>
  <si>
    <t>Use Cases (UUCW)</t>
  </si>
  <si>
    <t>Простые (5)</t>
  </si>
  <si>
    <t>UC09</t>
  </si>
  <si>
    <t>Средние (10)</t>
  </si>
  <si>
    <t>UC10</t>
  </si>
  <si>
    <t>Сложные (15)</t>
  </si>
  <si>
    <t>UC11</t>
  </si>
  <si>
    <t>Итого UUCW</t>
  </si>
  <si>
    <t>UC12</t>
  </si>
  <si>
    <t>Итого SP</t>
  </si>
  <si>
    <t>Фактор</t>
  </si>
  <si>
    <t>Оценка (0-5)</t>
  </si>
  <si>
    <t>Вклад</t>
  </si>
  <si>
    <t>T1</t>
  </si>
  <si>
    <t>Распределённая система</t>
  </si>
  <si>
    <t>Трудозатраты из User Stories: 55 SP × 8 часов/SP = 440 человеко-часов</t>
  </si>
  <si>
    <t>T2</t>
  </si>
  <si>
    <t>Требования к производительности</t>
  </si>
  <si>
    <t>T3</t>
  </si>
  <si>
    <t>Эффективность использования</t>
  </si>
  <si>
    <t>T4</t>
  </si>
  <si>
    <t>Сложная внутренняя обработка</t>
  </si>
  <si>
    <t>T5</t>
  </si>
  <si>
    <t>Переиспользуемость кода</t>
  </si>
  <si>
    <t>Расчёты</t>
  </si>
  <si>
    <t>T6</t>
  </si>
  <si>
    <t>Простота установки</t>
  </si>
  <si>
    <t>0.5</t>
  </si>
  <si>
    <t>T7</t>
  </si>
  <si>
    <t>Простота использования</t>
  </si>
  <si>
    <t>EF = 1.4 + (-0.03 × 23.5) = 0.695</t>
  </si>
  <si>
    <t>T8</t>
  </si>
  <si>
    <t>Переносимость</t>
  </si>
  <si>
    <t>T9</t>
  </si>
  <si>
    <t>Простота внесения изменений</t>
  </si>
  <si>
    <t>T10</t>
  </si>
  <si>
    <t>Параллельная обработка</t>
  </si>
  <si>
    <t>T11</t>
  </si>
  <si>
    <t>Требования безопасности</t>
  </si>
  <si>
    <t>T12</t>
  </si>
  <si>
    <t>Доступ для третьих сторон</t>
  </si>
  <si>
    <t>T13</t>
  </si>
  <si>
    <t>Требования к обучению</t>
  </si>
  <si>
    <t>Итого TFactor</t>
  </si>
  <si>
    <t>E1</t>
  </si>
  <si>
    <t>Опыт команды с методологией</t>
  </si>
  <si>
    <t>E2</t>
  </si>
  <si>
    <t>Опыт в предметной области</t>
  </si>
  <si>
    <t>E3</t>
  </si>
  <si>
    <t>Опыт с технологиями</t>
  </si>
  <si>
    <t>E4</t>
  </si>
  <si>
    <t>Опыт в анализе</t>
  </si>
  <si>
    <t>E5</t>
  </si>
  <si>
    <t>Мотивация команды</t>
  </si>
  <si>
    <t>E6</t>
  </si>
  <si>
    <t>Стабильность требований</t>
  </si>
  <si>
    <t>E7</t>
  </si>
  <si>
    <t>Частичная занятость</t>
  </si>
  <si>
    <t>E8</t>
  </si>
  <si>
    <t>Сложность языка</t>
  </si>
  <si>
    <t>Итого EFactor</t>
  </si>
  <si>
    <t>Оценка</t>
  </si>
  <si>
    <t>Уровень</t>
  </si>
  <si>
    <t>Крайне негативно</t>
  </si>
  <si>
    <t>Полное отсутствие опыта/крайне негативные условия</t>
  </si>
  <si>
    <t>Негативно</t>
  </si>
  <si>
    <t>Очень низкий опыт/плохие условия</t>
  </si>
  <si>
    <t>Ниже среднего</t>
  </si>
  <si>
    <t>Низкий опыт/условия хуже средних</t>
  </si>
  <si>
    <t>Средне</t>
  </si>
  <si>
    <t>Средний опыт/стандартные условия</t>
  </si>
  <si>
    <t>Выше среднего</t>
  </si>
  <si>
    <t>Хороший опыт/благоприятные условия</t>
  </si>
  <si>
    <t>Крайне позитивно</t>
  </si>
  <si>
    <t>Отличный опыт/идеальные условия</t>
  </si>
  <si>
    <t>Эксперт</t>
  </si>
  <si>
    <t>Раунд 1 (ч.-мес.)</t>
  </si>
  <si>
    <t>Раунд 2 (ч.-мес.)</t>
  </si>
  <si>
    <t>Раунд 3 (ч.-мес.)</t>
  </si>
  <si>
    <t>Комментарий</t>
  </si>
  <si>
    <t>5.0</t>
  </si>
  <si>
    <t>Метод оценки</t>
  </si>
  <si>
    <t>Метрика</t>
  </si>
  <si>
    <t>Человеко-часы</t>
  </si>
  <si>
    <t>Человеко-месяцы</t>
  </si>
  <si>
    <t>Время при 2 чел. (мес.)</t>
  </si>
  <si>
    <t>6.0</t>
  </si>
  <si>
    <t>COSMIC FP</t>
  </si>
  <si>
    <t>42 CFP</t>
  </si>
  <si>
    <t>Среднее</t>
  </si>
  <si>
    <t>Консенсус достигнут</t>
  </si>
  <si>
    <t>Use Case Points</t>
  </si>
  <si>
    <t>74.5 UCP</t>
  </si>
  <si>
    <t>Экспертная оценка</t>
  </si>
  <si>
    <t>Консенсус 5.0</t>
  </si>
  <si>
    <t>Итоговая экспертная оценка: 5.0 человеко-месяцев = 800 человеко-часов</t>
  </si>
  <si>
    <t>User Stories</t>
  </si>
  <si>
    <t>55 SP</t>
  </si>
  <si>
    <t>2.75</t>
  </si>
  <si>
    <t>Средневзвешенное</t>
  </si>
  <si>
    <t>Вес методов: Экспертная 40%, COSMIC 30%, User Stories 20%, UCP 10%</t>
  </si>
  <si>
    <t>Этап разработки</t>
  </si>
  <si>
    <t>Совместно (часы)</t>
  </si>
  <si>
    <t>Итого (часы)</t>
  </si>
  <si>
    <t>Подготовка и планирование</t>
  </si>
  <si>
    <t>Backend разработка</t>
  </si>
  <si>
    <t>Frontend разработка</t>
  </si>
  <si>
    <t>Интеграции и API</t>
  </si>
  <si>
    <t>Тестирование и отладка</t>
  </si>
  <si>
    <t>Документация и сдача</t>
  </si>
  <si>
    <t>Итого на разработку</t>
  </si>
  <si>
    <t>110</t>
  </si>
  <si>
    <t>Соответствует оценке 6 чел.-мес. (960 часов) с округлением*</t>
  </si>
  <si>
    <t>Регистрация и вход в систему</t>
  </si>
  <si>
    <t>Сотрудник</t>
  </si>
  <si>
    <t>Получить доступ к системе SmartLocker</t>
  </si>
  <si>
    <t>1. Открытие приложения 2. Авторизация (SSO / логин-пароль) 3. Проверка прав доступа 4. Пользователь попадает в личный кабинет</t>
  </si>
  <si>
    <t>Просмотр доступных шкафчиков</t>
  </si>
  <si>
    <t>Узнать, какие шкафчики доступны для бронирования</t>
  </si>
  <si>
    <t>1. Открыть списко шкафчиков 2. Система отображает статус (свободен / занят) 3. Пользователь применяет фильтры (этаж / зона) 4. Пользователь выбирает шкафчик</t>
  </si>
  <si>
    <t>Бронирование шкафчика</t>
  </si>
  <si>
    <t>Забронировать шкафчик на определённое время</t>
  </si>
  <si>
    <t>1. Выбор шкафчика 2. Указание даты и времени 3. Система проверяет доступность 4. Бронирование сохраняется</t>
  </si>
  <si>
    <t>Продление бронирования</t>
  </si>
  <si>
    <t>Продлить срок использования шкафчика</t>
  </si>
  <si>
    <t>1. Открытие активного бронирования 2. Указание нового времени окончания 3. Проверка возможности продления 4. Обновление бронирования</t>
  </si>
  <si>
    <t>Открытие шкафчика</t>
  </si>
  <si>
    <t>Получить доступ к шкафчику</t>
  </si>
  <si>
    <t>1. Пользователь нажимает «Открыть» 2. Система проверяет права доступа 3. Отправляется команда на шкафчик 4. Шкафчик открывается</t>
  </si>
  <si>
    <t>Закрытие шкафчика</t>
  </si>
  <si>
    <t>Завершить использование шкафчика</t>
  </si>
  <si>
    <t>1. Пользователь закрывает шкафчик 2. Система фиксирует событие 3. Обновление статуса шкафчика 4. Сохранение записи в журнале</t>
  </si>
  <si>
    <t>Просмотр истории бронирования</t>
  </si>
  <si>
    <t>Просмотреть прошлые и текущие бронирования</t>
  </si>
  <si>
    <t>1. Открытие истории 2. Загрузка данных системой 3. Просмотр списка пользователем 4. При необходимости открывание деталей</t>
  </si>
  <si>
    <t>Досрочно освободить шкафчик</t>
  </si>
  <si>
    <t>Освобождение шкафчика</t>
  </si>
  <si>
    <t>1. Выбор активного бронирования 2. Нажатие «Освободить» 3. Подтверждение действия 4. Шкафчик становится доступным</t>
  </si>
  <si>
    <t>Управление шкафчиками</t>
  </si>
  <si>
    <t>Администратор</t>
  </si>
  <si>
    <t>Управлять конфигурацией шкафчиков</t>
  </si>
  <si>
    <t>1. Открытие панели управления 2. Добавление / редактирование шкафчиков 3. Назначение зон и статусов 4. Сохранение изменений</t>
  </si>
  <si>
    <t>Назначение прав доступа</t>
  </si>
  <si>
    <t>Ограничить или расширить доступ сотрудников</t>
  </si>
  <si>
    <t>1. Выбор пользователя 2. Назначение уровня доступа 3. Система обновляет права 4. Изменения вступили в силу</t>
  </si>
  <si>
    <t>Просмотр логов и статистики</t>
  </si>
  <si>
    <t>Контролировать использование шкафчиков</t>
  </si>
  <si>
    <t>1. Открытие раздела логов 2. Отображение событий системой 3. Применение фильтров 4. Просмотр статистики</t>
  </si>
  <si>
    <t>Аварийное открытие шкафчика</t>
  </si>
  <si>
    <t>Получить доступ к шкафчику в экстренной ситуации</t>
  </si>
  <si>
    <t>1. Выбор шкафчика 2. Подтверждение аварийного открытия 3. Отправка команды системой 4. Фикисрование события в логах</t>
  </si>
  <si>
    <t>13.5 чел.-мес.</t>
  </si>
  <si>
    <t>Отношение общей трудоёмкости проекта к чел/часам в месяц</t>
  </si>
  <si>
    <t>15.5 чел.-мес.</t>
  </si>
  <si>
    <t>6 человек</t>
  </si>
  <si>
    <t>параллельная разработка backend, frontend, тестирование и управление</t>
  </si>
  <si>
    <t>1 905 000 р.</t>
  </si>
  <si>
    <t>(150k + 130k + 60k + 85k + 100k + 110k) × 3 мес</t>
  </si>
  <si>
    <t xml:space="preserve">2160 ч / (6 × 160 ч/мес) ≈ 2.25 мес + резерв </t>
  </si>
  <si>
    <t>Сложность реализации (C1)</t>
  </si>
  <si>
    <t>Размеры рынка (C2)</t>
  </si>
  <si>
    <t>Время на разработку (C3)</t>
  </si>
  <si>
    <t>Пользовательская ценность (C4)</t>
  </si>
  <si>
    <t>3/5/7 (песс/ожид/оптим)</t>
  </si>
  <si>
    <t>108 UCP, 2160 чел.-часов, распределение задач между 6 ролями</t>
  </si>
  <si>
    <t>Соответствует: ожидаемая сложность</t>
  </si>
  <si>
    <t>Соответствует: высокий потенциао рынка</t>
  </si>
  <si>
    <t>Соответствует: ожидаемые сроки</t>
  </si>
  <si>
    <t>Соответствует: высокая ценность</t>
  </si>
  <si>
    <t>5/7/9 (высокая)</t>
  </si>
  <si>
    <t>Ориентация на корпоративные офисы и бизнес-центры</t>
  </si>
  <si>
    <t>3 календарных месяца при команде из 6 человек</t>
  </si>
  <si>
    <t>12 Use Cases покрывают ключевые пользовательские сценарии</t>
  </si>
  <si>
    <t>Регистрация и вход</t>
  </si>
  <si>
    <t>Просмотр шкафчиков</t>
  </si>
  <si>
    <t>Просмотр истории</t>
  </si>
  <si>
    <t>Аварийное открытие</t>
  </si>
  <si>
    <t>Ввод учетных данных, авторизация</t>
  </si>
  <si>
    <t>Получение списка и статусов шкафчиков</t>
  </si>
  <si>
    <t>Создание бронирования</t>
  </si>
  <si>
    <t>Изменение времени бронирования</t>
  </si>
  <si>
    <t>Команда на открытие устройства</t>
  </si>
  <si>
    <t>Фиксация завершения использования</t>
  </si>
  <si>
    <t>Просмотр прошлых бронирований</t>
  </si>
  <si>
    <t>Досрочное завершение бронирования</t>
  </si>
  <si>
    <t>Добавление и редактирование шкафчиков</t>
  </si>
  <si>
    <t>Управление ролями пользователей</t>
  </si>
  <si>
    <t>Чтение событий и отчетов</t>
  </si>
  <si>
    <t>Экстренная команда на шкафчик</t>
  </si>
  <si>
    <t>Запись или обновление данных в хранилище</t>
  </si>
  <si>
    <t>X (Exite)</t>
  </si>
  <si>
    <t>Вывод данных или уведомлений пользователю</t>
  </si>
  <si>
    <t>Авторизация сотрудника, бронирование шкафчика, продление бронирования, команда «Открыть шкафчик», аварийное открытие</t>
  </si>
  <si>
    <t>Получение списка шкафчиков и их статусов, загрузка истории бронирований, чтение логов и прав доступа</t>
  </si>
  <si>
    <t>Сохранение бронирования, обновление статуса шкафчика, запись событий в журнал, обновление прав доступа</t>
  </si>
  <si>
    <t>Отображение статуса шкафчика, подтверждение бронирования, отображение ошибок, уведомления сотруднику</t>
  </si>
  <si>
    <t>Сотрудник (средний)</t>
  </si>
  <si>
    <t>Администратор (сложный)</t>
  </si>
  <si>
    <t>1.5</t>
  </si>
  <si>
    <t>43.5</t>
  </si>
  <si>
    <t>Авторизация сотрудника (SSO/логин)</t>
  </si>
  <si>
    <t>Просмотр списка шкафчиков и статусов</t>
  </si>
  <si>
    <t>Фильтрация шкафчиков (этаж/зона)</t>
  </si>
  <si>
    <t>Бронирование шкафчика на время</t>
  </si>
  <si>
    <t>Открытие шкафчика из приложения</t>
  </si>
  <si>
    <t>Закрытие шкафчика и фиксация события</t>
  </si>
  <si>
    <t>Просмотр истории бронирований</t>
  </si>
  <si>
    <t>Досрочное освобождение шкафчика</t>
  </si>
  <si>
    <t>Добавление/редактирование шкафчиков (админ)</t>
  </si>
  <si>
    <t>Назначение прав доступа (роли)</t>
  </si>
  <si>
    <t>Простая форма + проверка прав</t>
  </si>
  <si>
    <t>Вывод списка, базовая логика</t>
  </si>
  <si>
    <t>Фильтры + обработка условий</t>
  </si>
  <si>
    <t>Бизнес-логика + проверки доступности</t>
  </si>
  <si>
    <t>Проверки правил продления</t>
  </si>
  <si>
    <t>IoT-команда + безопасность</t>
  </si>
  <si>
    <t>Событие + запись статуса</t>
  </si>
  <si>
    <t>Чтение данных, список</t>
  </si>
  <si>
    <t>Изменение статусов + проверки</t>
  </si>
  <si>
    <t>CRUD + конфигурация зон/статусов</t>
  </si>
  <si>
    <t>Роли + ограничения доступа</t>
  </si>
  <si>
    <t>Отчёты/просмотр, без сложной логики</t>
  </si>
  <si>
    <t>Исключительный сценарий + логирование</t>
  </si>
  <si>
    <t>TCF = 0.6 + (0.01 × 43.5) = 1.035</t>
  </si>
  <si>
    <t>UCP = 110 × 1.035 × 0.695 = 79.13</t>
  </si>
  <si>
    <t>Гагик</t>
  </si>
  <si>
    <t>Данила</t>
  </si>
  <si>
    <t>Денис</t>
  </si>
  <si>
    <t>4.5</t>
  </si>
  <si>
    <t>5.5</t>
  </si>
  <si>
    <t>5.3</t>
  </si>
  <si>
    <t>5.2</t>
  </si>
  <si>
    <t>Учтена серверная логика, роли и безопасность</t>
  </si>
  <si>
    <t>Учтена IoT-интеграция и работа со шкафчиками</t>
  </si>
  <si>
    <t>Учтены UI, админ-панель и сценарии ошибок</t>
  </si>
  <si>
    <t>410</t>
  </si>
  <si>
    <t>Гагик (часы)</t>
  </si>
  <si>
    <t>Данила (часы)</t>
  </si>
  <si>
    <t>370</t>
  </si>
  <si>
    <t>Денис (часы)</t>
  </si>
  <si>
    <t>140</t>
  </si>
  <si>
    <t>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</si>
</sst>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.m"/>
  </numFmts>
  <fonts count="16">
    <font>
      <sz val="10"/>
      <color rgb="FF000000"/>
      <name val="Arial"/>
      <scheme val="minor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2"/>
      <color rgb="FF0F1115"/>
      <name val="Times New Roman"/>
      <family val="1"/>
    </font>
    <font>
      <sz val="14"/>
      <color rgb="FF0F1115"/>
      <name val="Times New Roman"/>
      <family val="1"/>
    </font>
    <font>
      <sz val="18"/>
      <color rgb="FF0F1115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Arial"/>
      <family val="2"/>
      <scheme val="minor"/>
    </font>
    <font>
      <sz val="14"/>
      <color rgb="FFFFFFFF"/>
      <name val="Times New Roman"/>
      <family val="1"/>
    </font>
    <font>
      <sz val="12"/>
      <color rgb="FF0F1115"/>
      <name val="Quote-cjk-patch"/>
    </font>
    <font>
      <sz val="10"/>
      <color theme="1"/>
      <name val="Arial"/>
      <family val="2"/>
      <scheme val="minor"/>
    </font>
    <font>
      <sz val="14"/>
      <color rgb="FF0F1115"/>
      <name val="Arial"/>
      <family val="2"/>
      <scheme val="minor"/>
    </font>
    <font>
      <b/>
      <sz val="14"/>
      <color theme="1"/>
      <name val="Quote-cjk-patch"/>
    </font>
    <font>
      <sz val="14"/>
      <color rgb="FF0F1115"/>
      <name val="Quote-cjk-patch"/>
    </font>
    <font>
      <sz val="14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4" fillId="2" borderId="0" xfId="0" applyFont="1" applyFill="1"/>
    <xf numFmtId="0" fontId="3" fillId="2" borderId="1" xfId="0" applyFont="1" applyFill="1" applyBorder="1" applyAlignment="1">
      <alignment horizontal="right" vertical="center"/>
    </xf>
    <xf numFmtId="0" fontId="5" fillId="2" borderId="0" xfId="0" applyFont="1" applyFill="1"/>
    <xf numFmtId="0" fontId="6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/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9" fillId="3" borderId="0" xfId="0" applyFont="1" applyFill="1"/>
    <xf numFmtId="0" fontId="9" fillId="3" borderId="0" xfId="0" applyFont="1" applyFill="1" applyAlignment="1">
      <alignment horizontal="left"/>
    </xf>
    <xf numFmtId="0" fontId="4" fillId="2" borderId="1" xfId="0" applyFont="1" applyFill="1" applyBorder="1" applyAlignment="1">
      <alignment horizontal="right" vertical="center"/>
    </xf>
    <xf numFmtId="0" fontId="9" fillId="0" borderId="0" xfId="0" applyFont="1"/>
    <xf numFmtId="0" fontId="11" fillId="0" borderId="0" xfId="0" applyFont="1"/>
    <xf numFmtId="0" fontId="10" fillId="2" borderId="0" xfId="0" applyFont="1" applyFill="1"/>
    <xf numFmtId="0" fontId="12" fillId="2" borderId="0" xfId="0" applyFont="1" applyFill="1"/>
    <xf numFmtId="164" fontId="4" fillId="2" borderId="1" xfId="0" applyNumberFormat="1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4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left" vertical="center"/>
    </xf>
    <xf numFmtId="49" fontId="14" fillId="2" borderId="1" xfId="0" applyNumberFormat="1" applyFont="1" applyFill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164" fontId="14" fillId="0" borderId="1" xfId="0" applyNumberFormat="1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164" fontId="14" fillId="0" borderId="1" xfId="0" applyNumberFormat="1" applyFont="1" applyBorder="1" applyAlignment="1">
      <alignment vertical="center"/>
    </xf>
    <xf numFmtId="49" fontId="4" fillId="2" borderId="1" xfId="0" applyNumberFormat="1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vertical="center"/>
    </xf>
    <xf numFmtId="0" fontId="15" fillId="0" borderId="0" xfId="0" applyFont="1"/>
    <xf numFmtId="0" fontId="4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F1115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F1115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F1115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F1115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F1115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F1115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numFmt numFmtId="30" formatCode="@"/>
    </dxf>
    <dxf>
      <numFmt numFmtId="30" formatCode="@"/>
    </dxf>
    <dxf>
      <numFmt numFmtId="30" formatCode="@"/>
    </dxf>
    <dxf>
      <font>
        <strike val="0"/>
        <outline val="0"/>
        <shadow val="0"/>
        <u val="none"/>
        <vertAlign val="baseline"/>
        <sz val="14"/>
        <name val="Quote-cjk-patch"/>
        <scheme val="none"/>
      </font>
    </dxf>
    <dxf>
      <font>
        <strike val="0"/>
        <outline val="0"/>
        <shadow val="0"/>
        <u val="none"/>
        <vertAlign val="baseline"/>
        <sz val="14"/>
        <name val="Quote-cjk-patch"/>
        <scheme val="none"/>
      </font>
    </dxf>
    <dxf>
      <font>
        <strike val="0"/>
        <outline val="0"/>
        <shadow val="0"/>
        <u val="none"/>
        <vertAlign val="baseline"/>
        <sz val="14"/>
        <name val="Quote-cjk-patch"/>
        <scheme val="none"/>
      </font>
    </dxf>
    <dxf>
      <font>
        <strike val="0"/>
        <outline val="0"/>
        <shadow val="0"/>
        <u val="none"/>
        <vertAlign val="baseline"/>
        <sz val="14"/>
        <name val="Quote-cjk-patch"/>
        <scheme val="none"/>
      </font>
    </dxf>
    <dxf>
      <font>
        <strike val="0"/>
        <outline val="0"/>
        <shadow val="0"/>
        <u val="none"/>
        <vertAlign val="baseline"/>
        <sz val="14"/>
        <name val="Quote-cjk-patch"/>
        <scheme val="none"/>
      </font>
    </dxf>
    <dxf>
      <font>
        <strike val="0"/>
        <outline val="0"/>
        <shadow val="0"/>
        <u val="none"/>
        <vertAlign val="baseline"/>
        <sz val="14"/>
        <name val="Quote-cjk-patch"/>
        <scheme val="none"/>
      </font>
    </dxf>
    <dxf>
      <font>
        <strike val="0"/>
        <outline val="0"/>
        <shadow val="0"/>
        <u val="none"/>
        <vertAlign val="baseline"/>
        <sz val="14"/>
        <name val="Quote-cjk-patch"/>
        <scheme val="none"/>
      </font>
    </dxf>
    <dxf>
      <font>
        <strike val="0"/>
        <outline val="0"/>
        <shadow val="0"/>
        <u val="none"/>
        <vertAlign val="baseline"/>
        <sz val="14"/>
        <name val="Quote-cjk-patch"/>
        <scheme val="none"/>
      </font>
    </dxf>
    <dxf>
      <font>
        <strike val="0"/>
        <outline val="0"/>
        <shadow val="0"/>
        <u val="none"/>
        <vertAlign val="baseline"/>
        <sz val="14"/>
        <name val="Quote-cjk-patch"/>
        <scheme val="none"/>
      </font>
    </dxf>
    <dxf>
      <font>
        <strike val="0"/>
        <outline val="0"/>
        <shadow val="0"/>
        <u val="none"/>
        <vertAlign val="baseline"/>
        <sz val="14"/>
        <name val="Quote-cjk-patch"/>
        <scheme val="none"/>
      </font>
    </dxf>
    <dxf>
      <font>
        <strike val="0"/>
        <outline val="0"/>
        <shadow val="0"/>
        <u val="none"/>
        <vertAlign val="baseline"/>
        <sz val="14"/>
        <name val="Quote-cjk-patch"/>
        <scheme val="none"/>
      </font>
    </dxf>
    <dxf>
      <font>
        <strike val="0"/>
        <outline val="0"/>
        <shadow val="0"/>
        <u val="none"/>
        <vertAlign val="baseline"/>
        <sz val="14"/>
        <name val="Quote-cjk-patch"/>
        <scheme val="none"/>
      </font>
    </dxf>
    <dxf>
      <font>
        <strike val="0"/>
        <outline val="0"/>
        <shadow val="0"/>
        <u val="none"/>
        <vertAlign val="baseline"/>
        <sz val="14"/>
        <name val="Quote-cjk-patch"/>
        <scheme val="none"/>
      </font>
    </dxf>
    <dxf>
      <font>
        <strike val="0"/>
        <outline val="0"/>
        <shadow val="0"/>
        <u val="none"/>
        <vertAlign val="baseline"/>
        <sz val="14"/>
        <name val="Quote-cjk-patch"/>
        <scheme val="none"/>
      </font>
    </dxf>
    <dxf>
      <font>
        <strike val="0"/>
        <outline val="0"/>
        <shadow val="0"/>
        <u val="none"/>
        <vertAlign val="baseline"/>
        <sz val="14"/>
        <name val="Quote-cjk-patch"/>
        <scheme val="none"/>
      </font>
    </dxf>
    <dxf>
      <font>
        <strike val="0"/>
        <outline val="0"/>
        <shadow val="0"/>
        <u val="none"/>
        <vertAlign val="baseline"/>
        <sz val="14"/>
        <name val="Quote-cjk-patch"/>
        <scheme val="none"/>
      </font>
    </dxf>
    <dxf>
      <font>
        <strike val="0"/>
        <outline val="0"/>
        <shadow val="0"/>
        <u val="none"/>
        <vertAlign val="baseline"/>
        <sz val="14"/>
        <name val="Quote-cjk-patch"/>
        <scheme val="none"/>
      </font>
    </dxf>
    <dxf>
      <font>
        <strike val="0"/>
        <outline val="0"/>
        <shadow val="0"/>
        <u val="none"/>
        <vertAlign val="baseline"/>
        <sz val="14"/>
        <name val="Quote-cjk-patch"/>
        <scheme val="none"/>
      </font>
    </dxf>
    <dxf>
      <font>
        <strike val="0"/>
        <outline val="0"/>
        <shadow val="0"/>
        <u val="none"/>
        <vertAlign val="baseline"/>
        <sz val="14"/>
        <name val="Quote-cjk-patch"/>
        <scheme val="none"/>
      </font>
    </dxf>
    <dxf>
      <font>
        <strike val="0"/>
        <outline val="0"/>
        <shadow val="0"/>
        <u val="none"/>
        <vertAlign val="baseline"/>
        <sz val="14"/>
        <name val="Quote-cjk-patch"/>
        <scheme val="none"/>
      </font>
    </dxf>
    <dxf>
      <font>
        <strike val="0"/>
        <outline val="0"/>
        <shadow val="0"/>
        <u val="none"/>
        <vertAlign val="baseline"/>
        <sz val="14"/>
        <name val="Quote-cjk-patch"/>
        <scheme val="none"/>
      </font>
    </dxf>
    <dxf>
      <font>
        <strike val="0"/>
        <outline val="0"/>
        <shadow val="0"/>
        <u val="none"/>
        <vertAlign val="baseline"/>
        <sz val="14"/>
        <name val="Quote-cjk-patch"/>
        <scheme val="none"/>
      </font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3">
    <tableStyle name="Никита-style" pivot="0" count="4" xr9:uid="{00000000-0011-0000-FFFF-FFFF00000000}">
      <tableStyleElement type="wholeTable" size="0" dxfId="82"/>
      <tableStyleElement type="headerRow" dxfId="85"/>
      <tableStyleElement type="firstRowStripe" dxfId="84"/>
      <tableStyleElement type="secondRowStripe" dxfId="83"/>
    </tableStyle>
    <tableStyle name="Никита-style 2" pivot="0" count="4" xr9:uid="{00000000-0011-0000-FFFF-FFFF01000000}">
      <tableStyleElement type="wholeTable" size="0" dxfId="78"/>
      <tableStyleElement type="headerRow" dxfId="81"/>
      <tableStyleElement type="firstRowStripe" dxfId="80"/>
      <tableStyleElement type="secondRowStripe" dxfId="79"/>
    </tableStyle>
    <tableStyle name="Никита-style 3" pivot="0" count="4" xr9:uid="{00000000-0011-0000-FFFF-FFFF02000000}">
      <tableStyleElement type="wholeTable" size="0" dxfId="74"/>
      <tableStyleElement type="headerRow" dxfId="77"/>
      <tableStyleElement type="firstRowStripe" dxfId="76"/>
      <tableStyleElement type="secondRowStripe" dxfId="75"/>
    </tableStyle>
    <tableStyle name="Влад-style" pivot="0" count="4" xr9:uid="{00000000-0011-0000-FFFF-FFFF03000000}">
      <tableStyleElement type="wholeTable" size="0" dxfId="70"/>
      <tableStyleElement type="headerRow" dxfId="73"/>
      <tableStyleElement type="firstRowStripe" dxfId="72"/>
      <tableStyleElement type="secondRowStripe" dxfId="71"/>
    </tableStyle>
    <tableStyle name="Влад-style 2" pivot="0" count="4" xr9:uid="{00000000-0011-0000-FFFF-FFFF04000000}">
      <tableStyleElement type="wholeTable" size="0" dxfId="66"/>
      <tableStyleElement type="headerRow" dxfId="69"/>
      <tableStyleElement type="firstRowStripe" dxfId="68"/>
      <tableStyleElement type="secondRowStripe" dxfId="67"/>
    </tableStyle>
    <tableStyle name="Влад-style 3" pivot="0" count="4" xr9:uid="{00000000-0011-0000-FFFF-FFFF05000000}">
      <tableStyleElement type="wholeTable" size="0" dxfId="62"/>
      <tableStyleElement type="headerRow" dxfId="65"/>
      <tableStyleElement type="firstRowStripe" dxfId="64"/>
      <tableStyleElement type="secondRowStripe" dxfId="63"/>
    </tableStyle>
    <tableStyle name="Влад-style 4" pivot="0" count="4" xr9:uid="{00000000-0011-0000-FFFF-FFFF06000000}">
      <tableStyleElement type="wholeTable" size="0" dxfId="58"/>
      <tableStyleElement type="headerRow" dxfId="61"/>
      <tableStyleElement type="firstRowStripe" dxfId="60"/>
      <tableStyleElement type="secondRowStripe" dxfId="59"/>
    </tableStyle>
    <tableStyle name="Влад-style 5" pivot="0" count="4" xr9:uid="{00000000-0011-0000-FFFF-FFFF07000000}">
      <tableStyleElement type="wholeTable" size="0" dxfId="54"/>
      <tableStyleElement type="headerRow" dxfId="57"/>
      <tableStyleElement type="firstRowStripe" dxfId="56"/>
      <tableStyleElement type="secondRowStripe" dxfId="55"/>
    </tableStyle>
    <tableStyle name="Влад-style 6" pivot="0" count="4" xr9:uid="{00000000-0011-0000-FFFF-FFFF08000000}">
      <tableStyleElement type="wholeTable" size="0" dxfId="50"/>
      <tableStyleElement type="headerRow" dxfId="53"/>
      <tableStyleElement type="firstRowStripe" dxfId="52"/>
      <tableStyleElement type="secondRowStripe" dxfId="51"/>
    </tableStyle>
    <tableStyle name="Влад-style 7" pivot="0" count="4" xr9:uid="{00000000-0011-0000-FFFF-FFFF09000000}">
      <tableStyleElement type="wholeTable" size="0" dxfId="46"/>
      <tableStyleElement type="headerRow" dxfId="49"/>
      <tableStyleElement type="firstRowStripe" dxfId="48"/>
      <tableStyleElement type="secondRowStripe" dxfId="47"/>
    </tableStyle>
    <tableStyle name="Совместно-style" pivot="0" count="4" xr9:uid="{00000000-0011-0000-FFFF-FFFF0A000000}">
      <tableStyleElement type="wholeTable" size="0" dxfId="42"/>
      <tableStyleElement type="headerRow" dxfId="45"/>
      <tableStyleElement type="firstRowStripe" dxfId="44"/>
      <tableStyleElement type="secondRowStripe" dxfId="43"/>
    </tableStyle>
    <tableStyle name="Совместно-style 2" pivot="0" count="4" xr9:uid="{00000000-0011-0000-FFFF-FFFF0B000000}">
      <tableStyleElement type="wholeTable" size="0" dxfId="38"/>
      <tableStyleElement type="headerRow" dxfId="41"/>
      <tableStyleElement type="firstRowStripe" dxfId="40"/>
      <tableStyleElement type="secondRowStripe" dxfId="39"/>
    </tableStyle>
    <tableStyle name="Совместно-style 3" pivot="0" count="5" xr9:uid="{00000000-0011-0000-FFFF-FFFF0C000000}">
      <tableStyleElement type="wholeTable" size="0" dxfId="33"/>
      <tableStyleElement type="headerRow" dxfId="37"/>
      <tableStyleElement type="totalRow" dxfId="34"/>
      <tableStyleElement type="firstRowStripe" dxfId="36"/>
      <tableStyleElement type="secondRowStripe" dxfId="3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2" displayName="Таблица2" ref="A1:E13">
  <tableColumns count="5">
    <tableColumn id="1" xr3:uid="{00000000-0010-0000-0000-000001000000}" name="ID UC"/>
    <tableColumn id="2" xr3:uid="{00000000-0010-0000-0000-000002000000}" name="Название Use Case"/>
    <tableColumn id="3" xr3:uid="{00000000-0010-0000-0000-000003000000}" name="Актор"/>
    <tableColumn id="4" xr3:uid="{00000000-0010-0000-0000-000004000000}" name="Цель"/>
    <tableColumn id="5" xr3:uid="{00000000-0010-0000-0000-000005000000}" name="Основной сценарий"/>
  </tableColumns>
  <tableStyleInfo name="Никита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Итоговая_оценка_проекта" displayName="Итоговая_оценка_проекта" ref="A17:C22">
  <tableColumns count="3">
    <tableColumn id="1" xr3:uid="{00000000-0010-0000-0100-000001000000}" name="Параметр"/>
    <tableColumn id="2" xr3:uid="{00000000-0010-0000-0100-000002000000}" name="Значение"/>
    <tableColumn id="3" xr3:uid="{00000000-0010-0000-0100-000003000000}" name="Обоснование"/>
  </tableColumns>
  <tableStyleInfo name="Никита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Проверка_соответствия_результатам_фазы_1" displayName="Проверка_соответствия_результатам_фазы_1" ref="A26:D30">
  <tableColumns count="4">
    <tableColumn id="1" xr3:uid="{00000000-0010-0000-0200-000001000000}" name="Критерий из Фазы 1"/>
    <tableColumn id="2" xr3:uid="{00000000-0010-0000-0200-000002000000}" name="Оценка в Фазе 1"/>
    <tableColumn id="3" xr3:uid="{00000000-0010-0000-0200-000003000000}" name="Результат в Фазе 3"/>
    <tableColumn id="4" xr3:uid="{00000000-0010-0000-0200-000004000000}" name="Соответствие"/>
  </tableColumns>
  <tableStyleInfo name="Никита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Табл_1" displayName="Табл_1" ref="A1:H13">
  <tableColumns count="8">
    <tableColumn id="1" xr3:uid="{00000000-0010-0000-0300-000001000000}" name="Процесс"/>
    <tableColumn id="2" xr3:uid="{00000000-0010-0000-0300-000002000000}" name="Тип"/>
    <tableColumn id="3" xr3:uid="{00000000-0010-0000-0300-000003000000}" name="Описание"/>
    <tableColumn id="4" xr3:uid="{00000000-0010-0000-0300-000004000000}" name="Entries"/>
    <tableColumn id="5" xr3:uid="{00000000-0010-0000-0300-000005000000}" name="Exits"/>
    <tableColumn id="6" xr3:uid="{00000000-0010-0000-0300-000006000000}" name="Reads"/>
    <tableColumn id="7" xr3:uid="{00000000-0010-0000-0300-000007000000}" name="Writes"/>
    <tableColumn id="8" xr3:uid="{00000000-0010-0000-0300-000008000000}" name="CFP"/>
  </tableColumns>
  <tableStyleInfo name="Влад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Расшифровка_типов_процессов" displayName="Расшифровка_типов_процессов" ref="J4:L8">
  <tableColumns count="3">
    <tableColumn id="1" xr3:uid="{00000000-0010-0000-0400-000001000000}" name="Тип"/>
    <tableColumn id="2" xr3:uid="{00000000-0010-0000-0400-000002000000}" name="Расшифровка"/>
    <tableColumn id="3" xr3:uid="{00000000-0010-0000-0400-000003000000}" name="Примеры в проекте"/>
  </tableColumns>
  <tableStyleInfo name="Влад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User_Stories" displayName="User_Stories" ref="J12:M27">
  <tableColumns count="4">
    <tableColumn id="1" xr3:uid="{00000000-0010-0000-0500-000001000000}" name="User Story"/>
    <tableColumn id="2" xr3:uid="{00000000-0010-0000-0500-000002000000}" name="Use Case"/>
    <tableColumn id="3" xr3:uid="{00000000-0010-0000-0500-000003000000}" name="Story Points"/>
    <tableColumn id="4" xr3:uid="{00000000-0010-0000-0500-000004000000}" name="Оценка сложности"/>
  </tableColumns>
  <tableStyleInfo name="Влад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Акторы_и_Use_Cases" displayName="Акторы_и_Use_Cases" ref="A19:E26">
  <tableColumns count="5">
    <tableColumn id="1" xr3:uid="{00000000-0010-0000-0600-000001000000}" name="Категория"/>
    <tableColumn id="2" xr3:uid="{00000000-0010-0000-0600-000002000000}" name="Тип"/>
    <tableColumn id="3" xr3:uid="{00000000-0010-0000-0600-000003000000}" name="Вес"/>
    <tableColumn id="4" xr3:uid="{00000000-0010-0000-0600-000004000000}" name="Кол-во"/>
    <tableColumn id="5" xr3:uid="{00000000-0010-0000-0600-000005000000}" name="Общий вес"/>
  </tableColumns>
  <tableStyleInfo name="Влад-style 4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Тех._Факторы_сложности" displayName="Тех._Факторы_сложности" ref="A28:E42" headerRowDxfId="27" dataDxfId="25" totalsRowDxfId="26">
  <tableColumns count="5">
    <tableColumn id="1" xr3:uid="{00000000-0010-0000-0700-000001000000}" name="Фактор" dataDxfId="32"/>
    <tableColumn id="2" xr3:uid="{00000000-0010-0000-0700-000002000000}" name="Описание" dataDxfId="31"/>
    <tableColumn id="3" xr3:uid="{00000000-0010-0000-0700-000003000000}" name="Вес" dataDxfId="30"/>
    <tableColumn id="4" xr3:uid="{00000000-0010-0000-0700-000004000000}" name="Оценка (0-5)" dataDxfId="29"/>
    <tableColumn id="5" xr3:uid="{00000000-0010-0000-0700-000005000000}" name="Вклад" dataDxfId="28"/>
  </tableColumns>
  <tableStyleInfo name="Влад-style 5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Факторы_среды_EFactor" displayName="Факторы_среды_EFactor" ref="A46:E55" headerRowDxfId="19" dataDxfId="17" totalsRowDxfId="18">
  <tableColumns count="5">
    <tableColumn id="1" xr3:uid="{00000000-0010-0000-0800-000001000000}" name="Фактор" dataDxfId="24"/>
    <tableColumn id="2" xr3:uid="{00000000-0010-0000-0800-000002000000}" name="Описание" dataDxfId="23"/>
    <tableColumn id="3" xr3:uid="{00000000-0010-0000-0800-000003000000}" name="Вес" dataDxfId="22"/>
    <tableColumn id="4" xr3:uid="{00000000-0010-0000-0800-000004000000}" name="Оценка (0-5)" dataDxfId="21"/>
    <tableColumn id="5" xr3:uid="{00000000-0010-0000-0800-000005000000}" name="Вклад" dataDxfId="20"/>
  </tableColumns>
  <tableStyleInfo name="Влад-style 6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Таблица1" displayName="Таблица1" ref="A59:C65" headerRowDxfId="13" dataDxfId="11" totalsRowDxfId="12">
  <tableColumns count="3">
    <tableColumn id="1" xr3:uid="{00000000-0010-0000-0900-000001000000}" name="Оценка" dataDxfId="16"/>
    <tableColumn id="2" xr3:uid="{00000000-0010-0000-0900-000002000000}" name="Уровень" dataDxfId="15"/>
    <tableColumn id="3" xr3:uid="{00000000-0010-0000-0900-000003000000}" name="Описание" dataDxfId="14"/>
  </tableColumns>
  <tableStyleInfo name="Влад-style 7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Экспертная_оценка" displayName="Экспертная_оценка" ref="A3:E7">
  <tableColumns count="5">
    <tableColumn id="1" xr3:uid="{00000000-0010-0000-0A00-000001000000}" name="Эксперт"/>
    <tableColumn id="2" xr3:uid="{00000000-0010-0000-0A00-000002000000}" name="Раунд 1 (ч.-мес.)" dataDxfId="10"/>
    <tableColumn id="3" xr3:uid="{00000000-0010-0000-0A00-000003000000}" name="Раунд 2 (ч.-мес.)" dataDxfId="9"/>
    <tableColumn id="4" xr3:uid="{00000000-0010-0000-0A00-000004000000}" name="Раунд 3 (ч.-мес.)" dataDxfId="8"/>
    <tableColumn id="5" xr3:uid="{00000000-0010-0000-0A00-000005000000}" name="Комментарий"/>
  </tableColumns>
  <tableStyleInfo name="Совместно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Сравнительный_анализ" displayName="Сравнительный_анализ" ref="G4:K9">
  <tableColumns count="5">
    <tableColumn id="1" xr3:uid="{00000000-0010-0000-0B00-000001000000}" name="Метод оценки"/>
    <tableColumn id="2" xr3:uid="{00000000-0010-0000-0B00-000002000000}" name="Метрика"/>
    <tableColumn id="3" xr3:uid="{00000000-0010-0000-0B00-000003000000}" name="Человеко-часы"/>
    <tableColumn id="4" xr3:uid="{00000000-0010-0000-0B00-000004000000}" name="Человеко-месяцы"/>
    <tableColumn id="5" xr3:uid="{00000000-0010-0000-0B00-000005000000}" name="Время при 2 чел. (мес.)"/>
  </tableColumns>
  <tableStyleInfo name="Совместно-style 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Распределение_работ_на_разработку" displayName="Распределение_работ_на_разработку" ref="A14:F21" totalsRowCount="1">
  <tableColumns count="6">
    <tableColumn id="1" xr3:uid="{00000000-0010-0000-0C00-000001000000}" name="Этап разработки" totalsRowLabel="Итого на разработку" totalsRowDxfId="5"/>
    <tableColumn id="2" xr3:uid="{00000000-0010-0000-0C00-000002000000}" name="Гагик (часы)" totalsRowLabel="410" totalsRowDxfId="4"/>
    <tableColumn id="6" xr3:uid="{AF063922-198E-0E45-AE70-C03F157172DA}" name="Данила (часы)" totalsRowLabel="370" dataDxfId="7" totalsRowDxfId="3"/>
    <tableColumn id="3" xr3:uid="{00000000-0010-0000-0C00-000003000000}" name="Денис (часы)" totalsRowLabel="140" totalsRowDxfId="2"/>
    <tableColumn id="4" xr3:uid="{00000000-0010-0000-0C00-000004000000}" name="Совместно (часы)" totalsRowLabel="110" totalsRowDxfId="1"/>
    <tableColumn id="5" xr3:uid="{00000000-0010-0000-0C00-000005000000}" name="Итого (часы)" totalsRowLabel="920" dataDxfId="6" totalsRowDxfId="0"/>
  </tableColumns>
  <tableStyleInfo name="Совместно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2"/>
  <sheetViews>
    <sheetView zoomScale="84" zoomScaleNormal="84" workbookViewId="0">
      <pane ySplit="1" topLeftCell="A2" activePane="bottomLeft" state="frozen"/>
      <selection pane="bottomLeft" activeCell="D22" sqref="D22"/>
    </sheetView>
  </sheetViews>
  <sheetFormatPr baseColWidth="10" defaultColWidth="12.6640625" defaultRowHeight="15.75" customHeight="1"/>
  <cols>
    <col min="1" max="1" width="28.83203125" customWidth="1"/>
    <col min="2" max="2" width="33.33203125" customWidth="1"/>
    <col min="3" max="3" width="60.33203125" customWidth="1"/>
    <col min="4" max="4" width="53.1640625" customWidth="1"/>
    <col min="5" max="5" width="141.5" customWidth="1"/>
    <col min="6" max="6" width="56.6640625" customWidth="1"/>
  </cols>
  <sheetData>
    <row r="1" spans="1:12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</row>
    <row r="2" spans="1:12" ht="22.5" customHeight="1">
      <c r="A2" s="3" t="s">
        <v>5</v>
      </c>
      <c r="B2" s="3" t="s">
        <v>182</v>
      </c>
      <c r="C2" s="3" t="s">
        <v>183</v>
      </c>
      <c r="D2" s="3" t="s">
        <v>184</v>
      </c>
      <c r="E2" s="3" t="s">
        <v>185</v>
      </c>
      <c r="F2" s="2"/>
      <c r="G2" s="2"/>
      <c r="H2" s="2"/>
      <c r="I2" s="2"/>
      <c r="J2" s="2"/>
      <c r="K2" s="2"/>
      <c r="L2" s="2"/>
    </row>
    <row r="3" spans="1:12" ht="22.5" customHeight="1">
      <c r="A3" s="3" t="s">
        <v>6</v>
      </c>
      <c r="B3" s="3" t="s">
        <v>186</v>
      </c>
      <c r="C3" s="3" t="s">
        <v>183</v>
      </c>
      <c r="D3" s="3" t="s">
        <v>187</v>
      </c>
      <c r="E3" s="3" t="s">
        <v>188</v>
      </c>
      <c r="F3" s="2"/>
      <c r="G3" s="2"/>
      <c r="H3" s="2"/>
      <c r="I3" s="2"/>
      <c r="J3" s="2"/>
      <c r="K3" s="2"/>
      <c r="L3" s="2"/>
    </row>
    <row r="4" spans="1:12" ht="22.5" customHeight="1">
      <c r="A4" s="3" t="s">
        <v>7</v>
      </c>
      <c r="B4" s="3" t="s">
        <v>189</v>
      </c>
      <c r="C4" s="3" t="s">
        <v>183</v>
      </c>
      <c r="D4" s="3" t="s">
        <v>190</v>
      </c>
      <c r="E4" s="3" t="s">
        <v>191</v>
      </c>
      <c r="F4" s="2"/>
      <c r="G4" s="2"/>
      <c r="H4" s="2"/>
      <c r="I4" s="2"/>
      <c r="J4" s="2"/>
      <c r="K4" s="2"/>
      <c r="L4" s="2"/>
    </row>
    <row r="5" spans="1:12" ht="22.5" customHeight="1">
      <c r="A5" s="3" t="s">
        <v>8</v>
      </c>
      <c r="B5" s="3" t="s">
        <v>192</v>
      </c>
      <c r="C5" s="3" t="s">
        <v>183</v>
      </c>
      <c r="D5" s="3" t="s">
        <v>193</v>
      </c>
      <c r="E5" s="3" t="s">
        <v>194</v>
      </c>
      <c r="F5" s="2"/>
      <c r="G5" s="2"/>
      <c r="H5" s="2"/>
      <c r="I5" s="2"/>
      <c r="J5" s="2"/>
      <c r="K5" s="2"/>
      <c r="L5" s="2"/>
    </row>
    <row r="6" spans="1:12" ht="22.5" customHeight="1">
      <c r="A6" s="3" t="s">
        <v>9</v>
      </c>
      <c r="B6" s="3" t="s">
        <v>195</v>
      </c>
      <c r="C6" s="3" t="s">
        <v>183</v>
      </c>
      <c r="D6" s="3" t="s">
        <v>196</v>
      </c>
      <c r="E6" s="3" t="s">
        <v>197</v>
      </c>
      <c r="F6" s="2"/>
      <c r="G6" s="2"/>
      <c r="H6" s="2"/>
      <c r="I6" s="2"/>
      <c r="J6" s="2"/>
      <c r="K6" s="2"/>
      <c r="L6" s="2"/>
    </row>
    <row r="7" spans="1:12" ht="22.5" customHeight="1">
      <c r="A7" s="3" t="s">
        <v>10</v>
      </c>
      <c r="B7" s="3" t="s">
        <v>198</v>
      </c>
      <c r="C7" s="3" t="s">
        <v>183</v>
      </c>
      <c r="D7" s="3" t="s">
        <v>199</v>
      </c>
      <c r="E7" s="3" t="s">
        <v>200</v>
      </c>
      <c r="F7" s="2"/>
      <c r="G7" s="2"/>
      <c r="H7" s="2"/>
      <c r="I7" s="2"/>
      <c r="J7" s="2"/>
      <c r="K7" s="2"/>
      <c r="L7" s="2"/>
    </row>
    <row r="8" spans="1:12" ht="22.5" customHeight="1">
      <c r="A8" s="3" t="s">
        <v>11</v>
      </c>
      <c r="B8" s="3" t="s">
        <v>201</v>
      </c>
      <c r="C8" s="3" t="s">
        <v>183</v>
      </c>
      <c r="D8" s="3" t="s">
        <v>202</v>
      </c>
      <c r="E8" s="3" t="s">
        <v>203</v>
      </c>
      <c r="F8" s="2"/>
      <c r="G8" s="2"/>
      <c r="H8" s="2"/>
      <c r="I8" s="2"/>
      <c r="J8" s="2"/>
      <c r="K8" s="2"/>
      <c r="L8" s="2"/>
    </row>
    <row r="9" spans="1:12" ht="22.5" customHeight="1">
      <c r="A9" s="3" t="s">
        <v>12</v>
      </c>
      <c r="B9" s="3" t="s">
        <v>205</v>
      </c>
      <c r="C9" s="3" t="s">
        <v>183</v>
      </c>
      <c r="D9" s="3" t="s">
        <v>204</v>
      </c>
      <c r="E9" s="3" t="s">
        <v>206</v>
      </c>
      <c r="F9" s="2"/>
      <c r="G9" s="2"/>
      <c r="H9" s="2"/>
      <c r="I9" s="2"/>
      <c r="J9" s="2"/>
      <c r="K9" s="2"/>
      <c r="L9" s="2"/>
    </row>
    <row r="10" spans="1:12" ht="22.5" customHeight="1">
      <c r="A10" s="3" t="s">
        <v>13</v>
      </c>
      <c r="B10" s="3" t="s">
        <v>207</v>
      </c>
      <c r="C10" s="3" t="s">
        <v>208</v>
      </c>
      <c r="D10" s="3" t="s">
        <v>209</v>
      </c>
      <c r="E10" s="3" t="s">
        <v>210</v>
      </c>
      <c r="F10" s="2"/>
      <c r="G10" s="2"/>
      <c r="H10" s="2"/>
      <c r="I10" s="2"/>
      <c r="J10" s="2"/>
      <c r="K10" s="2"/>
      <c r="L10" s="2"/>
    </row>
    <row r="11" spans="1:12" ht="22.5" customHeight="1">
      <c r="A11" s="3" t="s">
        <v>14</v>
      </c>
      <c r="B11" s="3" t="s">
        <v>211</v>
      </c>
      <c r="C11" s="3" t="s">
        <v>208</v>
      </c>
      <c r="D11" s="3" t="s">
        <v>212</v>
      </c>
      <c r="E11" s="3" t="s">
        <v>213</v>
      </c>
      <c r="F11" s="2"/>
      <c r="G11" s="2"/>
      <c r="H11" s="2"/>
      <c r="I11" s="2"/>
      <c r="J11" s="2"/>
      <c r="K11" s="2"/>
      <c r="L11" s="2"/>
    </row>
    <row r="12" spans="1:12" ht="22.5" customHeight="1">
      <c r="A12" s="3" t="s">
        <v>15</v>
      </c>
      <c r="B12" s="3" t="s">
        <v>214</v>
      </c>
      <c r="C12" s="3" t="s">
        <v>208</v>
      </c>
      <c r="D12" s="3" t="s">
        <v>215</v>
      </c>
      <c r="E12" s="3" t="s">
        <v>216</v>
      </c>
      <c r="F12" s="2"/>
      <c r="G12" s="2"/>
      <c r="H12" s="2"/>
      <c r="I12" s="2"/>
      <c r="J12" s="2"/>
      <c r="K12" s="2"/>
      <c r="L12" s="2"/>
    </row>
    <row r="13" spans="1:12" ht="22.5" customHeight="1">
      <c r="A13" s="3" t="s">
        <v>16</v>
      </c>
      <c r="B13" s="3" t="s">
        <v>217</v>
      </c>
      <c r="C13" s="3" t="s">
        <v>208</v>
      </c>
      <c r="D13" s="3" t="s">
        <v>218</v>
      </c>
      <c r="E13" s="3" t="s">
        <v>219</v>
      </c>
      <c r="F13" s="2"/>
      <c r="G13" s="2"/>
      <c r="H13" s="2"/>
      <c r="I13" s="2"/>
      <c r="J13" s="2"/>
      <c r="K13" s="2"/>
      <c r="L13" s="2"/>
    </row>
    <row r="14" spans="1:12" ht="1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8">
      <c r="A16" s="4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22.5" customHeight="1">
      <c r="A17" s="1" t="s">
        <v>17</v>
      </c>
      <c r="B17" s="1" t="s">
        <v>18</v>
      </c>
      <c r="C17" s="1" t="s">
        <v>19</v>
      </c>
      <c r="D17" s="2"/>
      <c r="E17" s="2"/>
      <c r="F17" s="2"/>
      <c r="G17" s="2"/>
      <c r="H17" s="2"/>
      <c r="I17" s="2"/>
      <c r="J17" s="2"/>
      <c r="K17" s="2"/>
      <c r="L17" s="2"/>
    </row>
    <row r="18" spans="1:12" ht="22.5" customHeight="1">
      <c r="A18" s="3" t="s">
        <v>20</v>
      </c>
      <c r="B18" s="3" t="s">
        <v>220</v>
      </c>
      <c r="C18" s="3" t="s">
        <v>221</v>
      </c>
      <c r="D18" s="2"/>
      <c r="E18" s="2"/>
      <c r="F18" s="2"/>
      <c r="G18" s="2"/>
      <c r="H18" s="2"/>
      <c r="I18" s="2"/>
      <c r="J18" s="2"/>
      <c r="K18" s="2"/>
      <c r="L18" s="2"/>
    </row>
    <row r="19" spans="1:12" ht="22.5" customHeight="1">
      <c r="A19" s="3" t="s">
        <v>21</v>
      </c>
      <c r="B19" s="3" t="s">
        <v>222</v>
      </c>
      <c r="C19" s="3" t="s">
        <v>22</v>
      </c>
      <c r="D19" s="2"/>
      <c r="E19" s="2"/>
      <c r="F19" s="2"/>
      <c r="G19" s="2"/>
      <c r="H19" s="2"/>
      <c r="I19" s="2"/>
      <c r="J19" s="2"/>
      <c r="K19" s="2"/>
      <c r="L19" s="2"/>
    </row>
    <row r="20" spans="1:12" ht="22.5" customHeight="1">
      <c r="A20" s="3" t="s">
        <v>23</v>
      </c>
      <c r="B20" s="3" t="s">
        <v>223</v>
      </c>
      <c r="C20" s="3" t="s">
        <v>224</v>
      </c>
      <c r="D20" s="2"/>
      <c r="E20" s="2"/>
      <c r="F20" s="2"/>
      <c r="G20" s="2"/>
      <c r="H20" s="2"/>
      <c r="I20" s="2"/>
      <c r="J20" s="2"/>
      <c r="K20" s="2"/>
      <c r="L20" s="2"/>
    </row>
    <row r="21" spans="1:12" ht="22.5" customHeight="1">
      <c r="A21" s="3" t="s">
        <v>24</v>
      </c>
      <c r="B21" s="3" t="s">
        <v>25</v>
      </c>
      <c r="C21" s="3" t="s">
        <v>227</v>
      </c>
      <c r="D21" s="2"/>
      <c r="E21" s="2"/>
      <c r="F21" s="2"/>
      <c r="G21" s="2"/>
      <c r="H21" s="2"/>
      <c r="I21" s="2"/>
      <c r="J21" s="2"/>
      <c r="K21" s="2"/>
      <c r="L21" s="2"/>
    </row>
    <row r="22" spans="1:12" ht="22.5" customHeight="1">
      <c r="A22" s="3" t="s">
        <v>26</v>
      </c>
      <c r="B22" s="5" t="s">
        <v>225</v>
      </c>
      <c r="C22" s="3" t="s">
        <v>226</v>
      </c>
      <c r="D22" s="2"/>
      <c r="E22" s="2"/>
      <c r="F22" s="2"/>
      <c r="G22" s="2"/>
      <c r="H22" s="2"/>
      <c r="I22" s="2"/>
      <c r="J22" s="2"/>
      <c r="K22" s="2"/>
      <c r="L22" s="2"/>
    </row>
    <row r="23" spans="1:12" ht="1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22.5" customHeight="1">
      <c r="A26" s="1" t="s">
        <v>27</v>
      </c>
      <c r="B26" s="1" t="s">
        <v>28</v>
      </c>
      <c r="C26" s="1" t="s">
        <v>29</v>
      </c>
      <c r="D26" s="1" t="s">
        <v>30</v>
      </c>
      <c r="E26" s="2"/>
      <c r="F26" s="2"/>
      <c r="G26" s="2"/>
      <c r="H26" s="2"/>
      <c r="I26" s="2"/>
      <c r="J26" s="2"/>
      <c r="K26" s="2"/>
      <c r="L26" s="2"/>
    </row>
    <row r="27" spans="1:12" ht="22.5" customHeight="1">
      <c r="A27" s="3" t="s">
        <v>228</v>
      </c>
      <c r="B27" s="3" t="s">
        <v>232</v>
      </c>
      <c r="C27" s="3" t="s">
        <v>233</v>
      </c>
      <c r="D27" s="3" t="s">
        <v>234</v>
      </c>
      <c r="E27" s="2"/>
      <c r="F27" s="2"/>
      <c r="G27" s="2"/>
      <c r="H27" s="2"/>
      <c r="I27" s="2"/>
      <c r="J27" s="2"/>
      <c r="K27" s="2"/>
      <c r="L27" s="2"/>
    </row>
    <row r="28" spans="1:12" ht="22.5" customHeight="1">
      <c r="A28" s="3" t="s">
        <v>229</v>
      </c>
      <c r="B28" s="3" t="s">
        <v>238</v>
      </c>
      <c r="C28" s="3" t="s">
        <v>239</v>
      </c>
      <c r="D28" s="3" t="s">
        <v>235</v>
      </c>
      <c r="E28" s="2"/>
      <c r="F28" s="2"/>
      <c r="G28" s="2"/>
      <c r="H28" s="2"/>
      <c r="I28" s="2"/>
      <c r="J28" s="2"/>
      <c r="K28" s="2"/>
      <c r="L28" s="2"/>
    </row>
    <row r="29" spans="1:12" ht="22.5" customHeight="1">
      <c r="A29" s="3" t="s">
        <v>230</v>
      </c>
      <c r="B29" s="21" t="s">
        <v>232</v>
      </c>
      <c r="C29" s="3" t="s">
        <v>240</v>
      </c>
      <c r="D29" s="3" t="s">
        <v>236</v>
      </c>
      <c r="E29" s="2"/>
      <c r="F29" s="2"/>
      <c r="G29" s="2"/>
      <c r="H29" s="2"/>
      <c r="I29" s="2"/>
      <c r="J29" s="2"/>
      <c r="K29" s="2"/>
      <c r="L29" s="2"/>
    </row>
    <row r="30" spans="1:12" ht="22.5" customHeight="1">
      <c r="A30" s="3" t="s">
        <v>231</v>
      </c>
      <c r="B30" s="3" t="s">
        <v>31</v>
      </c>
      <c r="C30" s="3" t="s">
        <v>241</v>
      </c>
      <c r="D30" s="3" t="s">
        <v>237</v>
      </c>
      <c r="E30" s="2"/>
      <c r="F30" s="2"/>
      <c r="G30" s="2"/>
      <c r="H30" s="2"/>
      <c r="I30" s="2"/>
      <c r="J30" s="2"/>
      <c r="K30" s="2"/>
      <c r="L30" s="2"/>
    </row>
    <row r="31" spans="1:12" ht="1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1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65"/>
  <sheetViews>
    <sheetView tabSelected="1" zoomScale="62" zoomScaleNormal="62" workbookViewId="0">
      <pane ySplit="1" topLeftCell="A2" activePane="bottomLeft" state="frozen"/>
      <selection pane="bottomLeft" activeCell="J40" sqref="J40"/>
    </sheetView>
  </sheetViews>
  <sheetFormatPr baseColWidth="10" defaultColWidth="12.6640625" defaultRowHeight="15.75" customHeight="1"/>
  <cols>
    <col min="1" max="1" width="32.1640625" customWidth="1"/>
    <col min="2" max="2" width="36" customWidth="1"/>
    <col min="3" max="3" width="58.6640625" customWidth="1"/>
    <col min="4" max="4" width="17.83203125" customWidth="1"/>
    <col min="5" max="5" width="12.1640625" customWidth="1"/>
    <col min="6" max="6" width="11.6640625" customWidth="1"/>
    <col min="7" max="7" width="12.1640625" customWidth="1"/>
    <col min="8" max="8" width="7.5" customWidth="1"/>
    <col min="10" max="10" width="79.33203125" customWidth="1"/>
    <col min="11" max="11" width="53.33203125" customWidth="1"/>
    <col min="12" max="12" width="42.1640625" customWidth="1"/>
    <col min="13" max="13" width="50.5" customWidth="1"/>
    <col min="14" max="14" width="25.5" customWidth="1"/>
    <col min="15" max="15" width="37.6640625" customWidth="1"/>
    <col min="16" max="16" width="43.1640625" customWidth="1"/>
  </cols>
  <sheetData>
    <row r="1" spans="1:17" ht="22.5" customHeight="1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  <c r="I1" s="8"/>
      <c r="J1" s="4"/>
      <c r="K1" s="8"/>
      <c r="L1" s="8"/>
      <c r="M1" s="8"/>
      <c r="N1" s="8"/>
      <c r="O1" s="8"/>
      <c r="P1" s="9"/>
      <c r="Q1" s="9"/>
    </row>
    <row r="2" spans="1:17" ht="22.5" customHeight="1">
      <c r="A2" s="10" t="s">
        <v>242</v>
      </c>
      <c r="B2" s="10" t="s">
        <v>40</v>
      </c>
      <c r="C2" s="10" t="s">
        <v>246</v>
      </c>
      <c r="D2" s="11">
        <v>1</v>
      </c>
      <c r="E2" s="11">
        <v>1</v>
      </c>
      <c r="F2" s="11">
        <v>1</v>
      </c>
      <c r="G2" s="11">
        <v>0</v>
      </c>
      <c r="H2" s="11">
        <v>3</v>
      </c>
      <c r="I2" s="8"/>
      <c r="M2" s="8"/>
      <c r="N2" s="8"/>
      <c r="O2" s="8"/>
      <c r="P2" s="9"/>
      <c r="Q2" s="9"/>
    </row>
    <row r="3" spans="1:17" ht="22.5" customHeight="1">
      <c r="A3" s="10" t="s">
        <v>243</v>
      </c>
      <c r="B3" s="10" t="s">
        <v>48</v>
      </c>
      <c r="C3" s="10" t="s">
        <v>247</v>
      </c>
      <c r="D3" s="11">
        <v>1</v>
      </c>
      <c r="E3" s="11">
        <v>1</v>
      </c>
      <c r="F3" s="11">
        <v>1</v>
      </c>
      <c r="G3" s="11">
        <v>0</v>
      </c>
      <c r="H3" s="11">
        <v>3</v>
      </c>
      <c r="I3" s="8"/>
      <c r="M3" s="8"/>
      <c r="N3" s="8"/>
      <c r="O3" s="8"/>
      <c r="P3" s="9"/>
      <c r="Q3" s="9"/>
    </row>
    <row r="4" spans="1:17" ht="22.5" customHeight="1">
      <c r="A4" s="10" t="s">
        <v>189</v>
      </c>
      <c r="B4" s="10" t="s">
        <v>40</v>
      </c>
      <c r="C4" s="10" t="s">
        <v>248</v>
      </c>
      <c r="D4" s="11">
        <v>1</v>
      </c>
      <c r="E4" s="11">
        <v>1</v>
      </c>
      <c r="F4" s="11">
        <v>1</v>
      </c>
      <c r="G4" s="11">
        <v>1</v>
      </c>
      <c r="H4" s="11">
        <v>4</v>
      </c>
      <c r="I4" s="8"/>
      <c r="J4" s="7" t="s">
        <v>33</v>
      </c>
      <c r="K4" s="7" t="s">
        <v>41</v>
      </c>
      <c r="L4" s="7" t="s">
        <v>42</v>
      </c>
      <c r="M4" s="8"/>
      <c r="N4" s="8"/>
      <c r="O4" s="8"/>
      <c r="P4" s="9"/>
      <c r="Q4" s="9"/>
    </row>
    <row r="5" spans="1:17" ht="22.5" customHeight="1">
      <c r="A5" s="10" t="s">
        <v>192</v>
      </c>
      <c r="B5" s="10" t="s">
        <v>40</v>
      </c>
      <c r="C5" s="10" t="s">
        <v>249</v>
      </c>
      <c r="D5" s="11">
        <v>1</v>
      </c>
      <c r="E5" s="11">
        <v>1</v>
      </c>
      <c r="F5" s="11">
        <v>1</v>
      </c>
      <c r="G5" s="11">
        <v>1</v>
      </c>
      <c r="H5" s="11">
        <v>4</v>
      </c>
      <c r="I5" s="8"/>
      <c r="J5" s="10" t="s">
        <v>43</v>
      </c>
      <c r="K5" s="10" t="s">
        <v>44</v>
      </c>
      <c r="L5" s="10" t="s">
        <v>261</v>
      </c>
      <c r="M5" s="8"/>
      <c r="Q5" s="9"/>
    </row>
    <row r="6" spans="1:17" ht="22.5" customHeight="1">
      <c r="A6" s="10" t="s">
        <v>195</v>
      </c>
      <c r="B6" s="10" t="s">
        <v>40</v>
      </c>
      <c r="C6" s="10" t="s">
        <v>250</v>
      </c>
      <c r="D6" s="11">
        <v>1</v>
      </c>
      <c r="E6" s="11">
        <v>1</v>
      </c>
      <c r="F6" s="11">
        <v>1</v>
      </c>
      <c r="G6" s="11">
        <v>0</v>
      </c>
      <c r="H6" s="11">
        <v>3</v>
      </c>
      <c r="I6" s="8"/>
      <c r="J6" s="10" t="s">
        <v>45</v>
      </c>
      <c r="K6" s="10" t="s">
        <v>46</v>
      </c>
      <c r="L6" s="10" t="s">
        <v>262</v>
      </c>
      <c r="M6" s="8"/>
      <c r="Q6" s="9"/>
    </row>
    <row r="7" spans="1:17" ht="22.5" customHeight="1">
      <c r="A7" s="10" t="s">
        <v>198</v>
      </c>
      <c r="B7" s="10" t="s">
        <v>40</v>
      </c>
      <c r="C7" s="10" t="s">
        <v>251</v>
      </c>
      <c r="D7" s="11">
        <v>1</v>
      </c>
      <c r="E7" s="11">
        <v>1</v>
      </c>
      <c r="F7" s="11">
        <v>0</v>
      </c>
      <c r="G7" s="11">
        <v>1</v>
      </c>
      <c r="H7" s="11">
        <v>3</v>
      </c>
      <c r="I7" s="8"/>
      <c r="J7" s="10" t="s">
        <v>47</v>
      </c>
      <c r="K7" s="10" t="s">
        <v>258</v>
      </c>
      <c r="L7" s="10" t="s">
        <v>263</v>
      </c>
      <c r="M7" s="8"/>
      <c r="Q7" s="9"/>
    </row>
    <row r="8" spans="1:17" ht="22.5" customHeight="1">
      <c r="A8" s="10" t="s">
        <v>244</v>
      </c>
      <c r="B8" s="10" t="s">
        <v>48</v>
      </c>
      <c r="C8" s="10" t="s">
        <v>252</v>
      </c>
      <c r="D8" s="11">
        <v>1</v>
      </c>
      <c r="E8" s="11">
        <v>1</v>
      </c>
      <c r="F8" s="11">
        <v>1</v>
      </c>
      <c r="G8" s="11">
        <v>0</v>
      </c>
      <c r="H8" s="11">
        <v>3</v>
      </c>
      <c r="I8" s="8"/>
      <c r="J8" s="22" t="s">
        <v>259</v>
      </c>
      <c r="K8" s="22" t="s">
        <v>260</v>
      </c>
      <c r="L8" s="22" t="s">
        <v>264</v>
      </c>
      <c r="M8" s="8"/>
      <c r="Q8" s="9"/>
    </row>
    <row r="9" spans="1:17" ht="22.5" customHeight="1">
      <c r="A9" s="10" t="s">
        <v>205</v>
      </c>
      <c r="B9" s="10" t="s">
        <v>40</v>
      </c>
      <c r="C9" s="10" t="s">
        <v>253</v>
      </c>
      <c r="D9" s="11">
        <v>1</v>
      </c>
      <c r="E9" s="11">
        <v>1</v>
      </c>
      <c r="F9" s="11">
        <v>1</v>
      </c>
      <c r="G9" s="11">
        <v>1</v>
      </c>
      <c r="H9" s="11">
        <v>4</v>
      </c>
      <c r="I9" s="8"/>
      <c r="J9" s="8"/>
      <c r="K9" s="8"/>
      <c r="L9" s="8"/>
      <c r="M9" s="8"/>
      <c r="N9" s="8"/>
      <c r="O9" s="8"/>
      <c r="P9" s="9"/>
      <c r="Q9" s="9"/>
    </row>
    <row r="10" spans="1:17" ht="22.5" customHeight="1">
      <c r="A10" s="10" t="s">
        <v>207</v>
      </c>
      <c r="B10" s="10" t="s">
        <v>49</v>
      </c>
      <c r="C10" s="10" t="s">
        <v>254</v>
      </c>
      <c r="D10" s="11">
        <v>1</v>
      </c>
      <c r="E10" s="11">
        <v>1</v>
      </c>
      <c r="F10" s="11">
        <v>1</v>
      </c>
      <c r="G10" s="11">
        <v>1</v>
      </c>
      <c r="H10" s="11">
        <v>4</v>
      </c>
      <c r="I10" s="8"/>
      <c r="J10" s="8"/>
      <c r="K10" s="12"/>
      <c r="L10" s="8"/>
      <c r="M10" s="8"/>
      <c r="N10" s="8"/>
      <c r="O10" s="8"/>
      <c r="P10" s="9"/>
      <c r="Q10" s="9"/>
    </row>
    <row r="11" spans="1:17" ht="22.5" customHeight="1">
      <c r="A11" s="10" t="s">
        <v>211</v>
      </c>
      <c r="B11" s="10" t="s">
        <v>49</v>
      </c>
      <c r="C11" s="10" t="s">
        <v>255</v>
      </c>
      <c r="D11" s="11">
        <v>1</v>
      </c>
      <c r="E11" s="11">
        <v>1</v>
      </c>
      <c r="F11" s="11">
        <v>1</v>
      </c>
      <c r="G11" s="11">
        <v>1</v>
      </c>
      <c r="H11" s="11">
        <v>4</v>
      </c>
      <c r="I11" s="8"/>
      <c r="J11" s="8"/>
      <c r="L11" s="12"/>
      <c r="M11" s="12"/>
      <c r="N11" s="12"/>
      <c r="O11" s="8"/>
      <c r="P11" s="9"/>
      <c r="Q11" s="9"/>
    </row>
    <row r="12" spans="1:17" ht="22.5" customHeight="1">
      <c r="A12" s="10" t="s">
        <v>214</v>
      </c>
      <c r="B12" s="10" t="s">
        <v>48</v>
      </c>
      <c r="C12" s="10" t="s">
        <v>256</v>
      </c>
      <c r="D12" s="11">
        <v>1</v>
      </c>
      <c r="E12" s="11">
        <v>1</v>
      </c>
      <c r="F12" s="11">
        <v>1</v>
      </c>
      <c r="G12" s="11">
        <v>0</v>
      </c>
      <c r="H12" s="11">
        <v>3</v>
      </c>
      <c r="I12" s="8"/>
      <c r="J12" s="7" t="s">
        <v>50</v>
      </c>
      <c r="K12" s="7" t="s">
        <v>51</v>
      </c>
      <c r="L12" s="7" t="s">
        <v>52</v>
      </c>
      <c r="M12" s="7" t="s">
        <v>53</v>
      </c>
      <c r="O12" s="8"/>
      <c r="P12" s="9"/>
      <c r="Q12" s="9"/>
    </row>
    <row r="13" spans="1:17" ht="22.5" customHeight="1">
      <c r="A13" s="10" t="s">
        <v>245</v>
      </c>
      <c r="B13" s="10" t="s">
        <v>40</v>
      </c>
      <c r="C13" s="10" t="s">
        <v>257</v>
      </c>
      <c r="D13" s="11">
        <v>1</v>
      </c>
      <c r="E13" s="11">
        <v>1</v>
      </c>
      <c r="F13" s="11">
        <v>1</v>
      </c>
      <c r="G13" s="11">
        <v>1</v>
      </c>
      <c r="H13" s="11">
        <v>4</v>
      </c>
      <c r="I13" s="8"/>
      <c r="J13" s="10" t="s">
        <v>269</v>
      </c>
      <c r="K13" s="10" t="s">
        <v>54</v>
      </c>
      <c r="L13" s="11">
        <v>3</v>
      </c>
      <c r="M13" s="10" t="s">
        <v>279</v>
      </c>
      <c r="O13" s="8"/>
      <c r="P13" s="9"/>
      <c r="Q13" s="9"/>
    </row>
    <row r="14" spans="1:17" ht="22.5" customHeight="1">
      <c r="A14" s="8"/>
      <c r="B14" s="8"/>
      <c r="C14" s="8"/>
      <c r="D14" s="8"/>
      <c r="E14" s="8"/>
      <c r="F14" s="8"/>
      <c r="G14" s="8"/>
      <c r="H14" s="8"/>
      <c r="I14" s="8"/>
      <c r="J14" s="10" t="s">
        <v>270</v>
      </c>
      <c r="K14" s="10" t="s">
        <v>54</v>
      </c>
      <c r="L14" s="11">
        <v>3</v>
      </c>
      <c r="M14" s="10" t="s">
        <v>280</v>
      </c>
    </row>
    <row r="15" spans="1:17" ht="22.5" customHeight="1">
      <c r="A15" s="13" t="s">
        <v>55</v>
      </c>
      <c r="B15" s="14">
        <f>SUM(H2:H13)</f>
        <v>42</v>
      </c>
      <c r="C15" s="8"/>
      <c r="D15" s="8"/>
      <c r="E15" s="8"/>
      <c r="F15" s="8"/>
      <c r="G15" s="8"/>
      <c r="H15" s="8"/>
      <c r="I15" s="8"/>
      <c r="J15" s="10" t="s">
        <v>271</v>
      </c>
      <c r="K15" s="10" t="s">
        <v>56</v>
      </c>
      <c r="L15" s="11">
        <v>5</v>
      </c>
      <c r="M15" s="10" t="s">
        <v>281</v>
      </c>
    </row>
    <row r="16" spans="1:17" ht="22.5" customHeight="1">
      <c r="A16" s="8"/>
      <c r="B16" s="8"/>
      <c r="C16" s="8"/>
      <c r="D16" s="8"/>
      <c r="E16" s="8"/>
      <c r="F16" s="8"/>
      <c r="G16" s="8"/>
      <c r="H16" s="8"/>
      <c r="I16" s="8"/>
      <c r="J16" s="10" t="s">
        <v>272</v>
      </c>
      <c r="K16" s="10" t="s">
        <v>57</v>
      </c>
      <c r="L16" s="11">
        <v>8</v>
      </c>
      <c r="M16" s="10" t="s">
        <v>282</v>
      </c>
    </row>
    <row r="17" spans="1:17" ht="22.5" customHeight="1">
      <c r="A17" s="4"/>
      <c r="B17" s="8"/>
      <c r="C17" s="8"/>
      <c r="D17" s="8"/>
      <c r="E17" s="8"/>
      <c r="F17" s="8"/>
      <c r="G17" s="8"/>
      <c r="H17" s="8"/>
      <c r="I17" s="8"/>
      <c r="J17" s="10" t="s">
        <v>192</v>
      </c>
      <c r="K17" s="10" t="s">
        <v>58</v>
      </c>
      <c r="L17" s="11">
        <v>5</v>
      </c>
      <c r="M17" s="10" t="s">
        <v>283</v>
      </c>
    </row>
    <row r="18" spans="1:17" ht="22.5" customHeight="1">
      <c r="A18" s="12"/>
      <c r="B18" s="12"/>
      <c r="C18" s="12"/>
      <c r="D18" s="12"/>
      <c r="E18" s="12"/>
      <c r="F18" s="8"/>
      <c r="G18" s="8"/>
      <c r="H18" s="8"/>
      <c r="I18" s="8"/>
      <c r="J18" s="10"/>
      <c r="K18" s="10"/>
      <c r="L18" s="11"/>
      <c r="M18" s="10"/>
      <c r="O18" s="8"/>
      <c r="P18" s="9"/>
      <c r="Q18" s="9"/>
    </row>
    <row r="19" spans="1:17" ht="22.5" customHeight="1">
      <c r="A19" s="7" t="s">
        <v>59</v>
      </c>
      <c r="B19" s="7" t="s">
        <v>33</v>
      </c>
      <c r="C19" s="7" t="s">
        <v>60</v>
      </c>
      <c r="D19" s="7" t="s">
        <v>61</v>
      </c>
      <c r="E19" s="7" t="s">
        <v>62</v>
      </c>
      <c r="F19" s="8"/>
      <c r="G19" s="8"/>
      <c r="H19" s="8"/>
      <c r="I19" s="8"/>
      <c r="J19" s="10" t="s">
        <v>273</v>
      </c>
      <c r="K19" s="10" t="s">
        <v>63</v>
      </c>
      <c r="L19" s="11">
        <v>8</v>
      </c>
      <c r="M19" s="10" t="s">
        <v>284</v>
      </c>
      <c r="O19" s="8"/>
      <c r="P19" s="9"/>
      <c r="Q19" s="9"/>
    </row>
    <row r="20" spans="1:17" ht="22.5" customHeight="1">
      <c r="A20" s="10" t="s">
        <v>64</v>
      </c>
      <c r="B20" s="10" t="s">
        <v>265</v>
      </c>
      <c r="C20" s="11">
        <v>2</v>
      </c>
      <c r="D20" s="11">
        <v>1</v>
      </c>
      <c r="E20" s="11">
        <v>2</v>
      </c>
      <c r="F20" s="8"/>
      <c r="G20" s="8"/>
      <c r="H20" s="8"/>
      <c r="I20" s="8"/>
      <c r="J20" s="10" t="s">
        <v>274</v>
      </c>
      <c r="K20" s="10" t="s">
        <v>65</v>
      </c>
      <c r="L20" s="11">
        <v>3</v>
      </c>
      <c r="M20" s="10" t="s">
        <v>285</v>
      </c>
      <c r="O20" s="8"/>
      <c r="P20" s="9"/>
      <c r="Q20" s="9"/>
    </row>
    <row r="21" spans="1:17" ht="22.5" customHeight="1">
      <c r="A21" s="10"/>
      <c r="B21" s="10" t="s">
        <v>266</v>
      </c>
      <c r="C21" s="11">
        <v>3</v>
      </c>
      <c r="D21" s="11">
        <v>1</v>
      </c>
      <c r="E21" s="11">
        <v>3</v>
      </c>
      <c r="F21" s="8"/>
      <c r="G21" s="8"/>
      <c r="H21" s="8"/>
      <c r="I21" s="8"/>
      <c r="J21" s="10" t="s">
        <v>275</v>
      </c>
      <c r="K21" s="10" t="s">
        <v>66</v>
      </c>
      <c r="L21" s="11">
        <v>3</v>
      </c>
      <c r="M21" s="10" t="s">
        <v>286</v>
      </c>
      <c r="O21" s="8"/>
      <c r="P21" s="9"/>
      <c r="Q21" s="9"/>
    </row>
    <row r="22" spans="1:17" ht="22.5" customHeight="1">
      <c r="A22" s="10" t="s">
        <v>67</v>
      </c>
      <c r="B22" s="10"/>
      <c r="C22" s="11"/>
      <c r="D22" s="11"/>
      <c r="E22" s="11">
        <v>5</v>
      </c>
      <c r="F22" s="8"/>
      <c r="G22" s="8"/>
      <c r="H22" s="8"/>
      <c r="I22" s="8"/>
      <c r="J22" s="10" t="s">
        <v>276</v>
      </c>
      <c r="K22" s="10" t="s">
        <v>68</v>
      </c>
      <c r="L22" s="11">
        <v>5</v>
      </c>
      <c r="M22" s="10" t="s">
        <v>287</v>
      </c>
      <c r="O22" s="8"/>
      <c r="P22" s="9"/>
      <c r="Q22" s="9"/>
    </row>
    <row r="23" spans="1:17" ht="22.5" customHeight="1">
      <c r="A23" s="10" t="s">
        <v>69</v>
      </c>
      <c r="B23" s="10" t="s">
        <v>70</v>
      </c>
      <c r="C23" s="11">
        <v>5</v>
      </c>
      <c r="D23" s="11">
        <v>5</v>
      </c>
      <c r="E23" s="11">
        <v>25</v>
      </c>
      <c r="F23" s="8"/>
      <c r="G23" s="8"/>
      <c r="H23" s="8"/>
      <c r="I23" s="8"/>
      <c r="J23" s="10" t="s">
        <v>277</v>
      </c>
      <c r="K23" s="10" t="s">
        <v>71</v>
      </c>
      <c r="L23" s="11">
        <v>5</v>
      </c>
      <c r="M23" s="10" t="s">
        <v>288</v>
      </c>
      <c r="O23" s="8"/>
      <c r="P23" s="9"/>
      <c r="Q23" s="9"/>
    </row>
    <row r="24" spans="1:17" ht="22.5" customHeight="1">
      <c r="A24" s="10"/>
      <c r="B24" s="10" t="s">
        <v>72</v>
      </c>
      <c r="C24" s="11">
        <v>10</v>
      </c>
      <c r="D24" s="11">
        <v>5</v>
      </c>
      <c r="E24" s="11">
        <v>50</v>
      </c>
      <c r="F24" s="8"/>
      <c r="G24" s="8"/>
      <c r="H24" s="8"/>
      <c r="I24" s="8"/>
      <c r="J24" s="10" t="s">
        <v>278</v>
      </c>
      <c r="K24" s="10" t="s">
        <v>73</v>
      </c>
      <c r="L24" s="11">
        <v>5</v>
      </c>
      <c r="M24" s="10" t="s">
        <v>289</v>
      </c>
      <c r="O24" s="8"/>
      <c r="P24" s="9"/>
      <c r="Q24" s="9"/>
    </row>
    <row r="25" spans="1:17" ht="22.5" customHeight="1">
      <c r="A25" s="10"/>
      <c r="B25" s="10" t="s">
        <v>74</v>
      </c>
      <c r="C25" s="11">
        <v>15</v>
      </c>
      <c r="D25" s="11">
        <v>2</v>
      </c>
      <c r="E25" s="11">
        <v>30</v>
      </c>
      <c r="F25" s="8"/>
      <c r="G25" s="8"/>
      <c r="H25" s="8"/>
      <c r="I25" s="8"/>
      <c r="J25" s="10" t="s">
        <v>214</v>
      </c>
      <c r="K25" s="10" t="s">
        <v>75</v>
      </c>
      <c r="L25" s="11">
        <v>2</v>
      </c>
      <c r="M25" s="10" t="s">
        <v>290</v>
      </c>
      <c r="O25" s="8"/>
      <c r="P25" s="9"/>
      <c r="Q25" s="9"/>
    </row>
    <row r="26" spans="1:17" ht="22.5" customHeight="1">
      <c r="A26" s="10" t="s">
        <v>76</v>
      </c>
      <c r="B26" s="10"/>
      <c r="C26" s="11"/>
      <c r="D26" s="11"/>
      <c r="E26" s="15">
        <v>105</v>
      </c>
      <c r="F26" s="8"/>
      <c r="G26" s="8"/>
      <c r="H26" s="8"/>
      <c r="I26" s="8"/>
      <c r="J26" s="10" t="s">
        <v>217</v>
      </c>
      <c r="K26" s="10" t="s">
        <v>77</v>
      </c>
      <c r="L26" s="11">
        <v>3</v>
      </c>
      <c r="M26" s="10" t="s">
        <v>291</v>
      </c>
      <c r="O26" s="8"/>
      <c r="P26" s="9"/>
      <c r="Q26" s="9"/>
    </row>
    <row r="27" spans="1:17" ht="22.5" customHeight="1">
      <c r="A27" s="8"/>
      <c r="B27" s="8"/>
      <c r="C27" s="8"/>
      <c r="D27" s="8"/>
      <c r="E27" s="8"/>
      <c r="F27" s="8"/>
      <c r="G27" s="8"/>
      <c r="H27" s="8"/>
      <c r="I27" s="8"/>
      <c r="J27" s="10" t="s">
        <v>78</v>
      </c>
      <c r="K27" s="10"/>
      <c r="L27" s="10">
        <v>55</v>
      </c>
      <c r="M27" s="10"/>
      <c r="O27" s="8"/>
      <c r="P27" s="9"/>
      <c r="Q27" s="9"/>
    </row>
    <row r="28" spans="1:17" ht="22.5" customHeight="1">
      <c r="A28" s="23" t="s">
        <v>79</v>
      </c>
      <c r="B28" s="23" t="s">
        <v>34</v>
      </c>
      <c r="C28" s="23" t="s">
        <v>60</v>
      </c>
      <c r="D28" s="23" t="s">
        <v>80</v>
      </c>
      <c r="E28" s="23" t="s">
        <v>81</v>
      </c>
      <c r="J28" s="8"/>
      <c r="O28" s="8"/>
      <c r="P28" s="9"/>
      <c r="Q28" s="9"/>
    </row>
    <row r="29" spans="1:17" ht="22.5" customHeight="1">
      <c r="A29" s="24" t="s">
        <v>82</v>
      </c>
      <c r="B29" s="24" t="s">
        <v>83</v>
      </c>
      <c r="C29" s="25">
        <v>2</v>
      </c>
      <c r="D29" s="25">
        <v>3</v>
      </c>
      <c r="E29" s="25">
        <v>6</v>
      </c>
      <c r="J29" s="13" t="s">
        <v>84</v>
      </c>
      <c r="O29" s="8"/>
      <c r="P29" s="9"/>
      <c r="Q29" s="9"/>
    </row>
    <row r="30" spans="1:17" ht="22.5" customHeight="1">
      <c r="A30" s="24" t="s">
        <v>85</v>
      </c>
      <c r="B30" s="24" t="s">
        <v>86</v>
      </c>
      <c r="C30" s="25">
        <v>1</v>
      </c>
      <c r="D30" s="25">
        <v>4</v>
      </c>
      <c r="E30" s="25">
        <v>3</v>
      </c>
      <c r="J30" s="8"/>
      <c r="L30" s="16"/>
      <c r="O30" s="8"/>
      <c r="P30" s="9"/>
      <c r="Q30" s="9"/>
    </row>
    <row r="31" spans="1:17" ht="22.5" customHeight="1">
      <c r="A31" s="24" t="s">
        <v>87</v>
      </c>
      <c r="B31" s="24" t="s">
        <v>88</v>
      </c>
      <c r="C31" s="25">
        <v>1</v>
      </c>
      <c r="D31" s="25">
        <v>3</v>
      </c>
      <c r="E31" s="25">
        <v>3</v>
      </c>
      <c r="J31" s="8"/>
      <c r="K31" s="4"/>
      <c r="L31" s="8"/>
      <c r="P31" s="9"/>
      <c r="Q31" s="9"/>
    </row>
    <row r="32" spans="1:17" ht="22.5" customHeight="1">
      <c r="A32" s="24" t="s">
        <v>89</v>
      </c>
      <c r="B32" s="24" t="s">
        <v>90</v>
      </c>
      <c r="C32" s="25">
        <v>1</v>
      </c>
      <c r="D32" s="25">
        <v>4</v>
      </c>
      <c r="E32" s="25">
        <v>4</v>
      </c>
      <c r="P32" s="9"/>
      <c r="Q32" s="9"/>
    </row>
    <row r="33" spans="1:17" ht="22.5" customHeight="1">
      <c r="A33" s="24" t="s">
        <v>91</v>
      </c>
      <c r="B33" s="24" t="s">
        <v>92</v>
      </c>
      <c r="C33" s="25">
        <v>1</v>
      </c>
      <c r="D33" s="25">
        <v>3</v>
      </c>
      <c r="E33" s="25">
        <v>3</v>
      </c>
      <c r="F33" s="8"/>
      <c r="G33" s="13" t="s">
        <v>93</v>
      </c>
      <c r="H33" s="13"/>
      <c r="I33" s="13"/>
      <c r="J33" s="13"/>
      <c r="L33" s="8"/>
      <c r="P33" s="9"/>
      <c r="Q33" s="9"/>
    </row>
    <row r="34" spans="1:17" ht="22.5" customHeight="1">
      <c r="A34" s="24" t="s">
        <v>94</v>
      </c>
      <c r="B34" s="24" t="s">
        <v>95</v>
      </c>
      <c r="C34" s="25" t="s">
        <v>96</v>
      </c>
      <c r="D34" s="25">
        <v>3</v>
      </c>
      <c r="E34" s="26" t="s">
        <v>267</v>
      </c>
      <c r="F34" s="8"/>
      <c r="G34" s="13" t="s">
        <v>292</v>
      </c>
      <c r="H34" s="13"/>
      <c r="I34" s="13"/>
      <c r="J34" s="13"/>
      <c r="L34" s="8"/>
      <c r="P34" s="9"/>
      <c r="Q34" s="9"/>
    </row>
    <row r="35" spans="1:17" ht="22.5" customHeight="1">
      <c r="A35" s="24" t="s">
        <v>97</v>
      </c>
      <c r="B35" s="24" t="s">
        <v>98</v>
      </c>
      <c r="C35" s="25" t="s">
        <v>96</v>
      </c>
      <c r="D35" s="25">
        <v>4</v>
      </c>
      <c r="E35" s="26">
        <v>2</v>
      </c>
      <c r="G35" s="13" t="s">
        <v>99</v>
      </c>
      <c r="H35" s="13"/>
      <c r="I35" s="13"/>
      <c r="J35" s="13"/>
    </row>
    <row r="36" spans="1:17" ht="22.5" customHeight="1">
      <c r="A36" s="24" t="s">
        <v>100</v>
      </c>
      <c r="B36" s="24" t="s">
        <v>101</v>
      </c>
      <c r="C36" s="25">
        <v>2</v>
      </c>
      <c r="D36" s="25">
        <v>3</v>
      </c>
      <c r="E36" s="25">
        <v>6</v>
      </c>
      <c r="G36" s="13" t="s">
        <v>293</v>
      </c>
      <c r="H36" s="13"/>
      <c r="I36" s="13"/>
      <c r="J36" s="13"/>
    </row>
    <row r="37" spans="1:17" ht="22.5" customHeight="1">
      <c r="A37" s="24" t="s">
        <v>102</v>
      </c>
      <c r="B37" s="24" t="s">
        <v>103</v>
      </c>
      <c r="C37" s="25">
        <v>1</v>
      </c>
      <c r="D37" s="25">
        <v>3</v>
      </c>
      <c r="E37" s="25">
        <v>3</v>
      </c>
    </row>
    <row r="38" spans="1:17" ht="22.5" customHeight="1">
      <c r="A38" s="24" t="s">
        <v>104</v>
      </c>
      <c r="B38" s="24" t="s">
        <v>105</v>
      </c>
      <c r="C38" s="25">
        <v>1</v>
      </c>
      <c r="D38" s="25">
        <v>3</v>
      </c>
      <c r="E38" s="25">
        <v>3</v>
      </c>
    </row>
    <row r="39" spans="1:17" ht="22.5" customHeight="1">
      <c r="A39" s="24" t="s">
        <v>106</v>
      </c>
      <c r="B39" s="24" t="s">
        <v>107</v>
      </c>
      <c r="C39" s="25">
        <v>1</v>
      </c>
      <c r="D39" s="25">
        <v>4</v>
      </c>
      <c r="E39" s="25">
        <v>4</v>
      </c>
    </row>
    <row r="40" spans="1:17" ht="22.5" customHeight="1">
      <c r="A40" s="24" t="s">
        <v>108</v>
      </c>
      <c r="B40" s="24" t="s">
        <v>109</v>
      </c>
      <c r="C40" s="25">
        <v>1</v>
      </c>
      <c r="D40" s="25">
        <v>3</v>
      </c>
      <c r="E40" s="25">
        <v>3</v>
      </c>
    </row>
    <row r="41" spans="1:17" ht="22.5" customHeight="1">
      <c r="A41" s="24" t="s">
        <v>110</v>
      </c>
      <c r="B41" s="24" t="s">
        <v>111</v>
      </c>
      <c r="C41" s="25">
        <v>1</v>
      </c>
      <c r="D41" s="25">
        <v>2</v>
      </c>
      <c r="E41" s="25">
        <v>2</v>
      </c>
    </row>
    <row r="42" spans="1:17" ht="22.5" customHeight="1">
      <c r="A42" s="24" t="s">
        <v>112</v>
      </c>
      <c r="B42" s="24"/>
      <c r="C42" s="25"/>
      <c r="D42" s="25"/>
      <c r="E42" s="25" t="s">
        <v>268</v>
      </c>
      <c r="N42" s="8"/>
    </row>
    <row r="43" spans="1:17" ht="18">
      <c r="N43" s="8"/>
    </row>
    <row r="44" spans="1:17" ht="18">
      <c r="N44" s="8"/>
    </row>
    <row r="45" spans="1:17" ht="18">
      <c r="A45" s="4"/>
      <c r="N45" s="8"/>
    </row>
    <row r="46" spans="1:17" ht="22.5" customHeight="1">
      <c r="A46" s="23" t="s">
        <v>79</v>
      </c>
      <c r="B46" s="23" t="s">
        <v>34</v>
      </c>
      <c r="C46" s="23" t="s">
        <v>60</v>
      </c>
      <c r="D46" s="23" t="s">
        <v>80</v>
      </c>
      <c r="E46" s="23" t="s">
        <v>81</v>
      </c>
      <c r="G46" s="17"/>
      <c r="H46" s="17"/>
      <c r="I46" s="17"/>
      <c r="J46" s="17"/>
    </row>
    <row r="47" spans="1:17" ht="22.5" customHeight="1">
      <c r="A47" s="27" t="s">
        <v>113</v>
      </c>
      <c r="B47" s="27" t="s">
        <v>114</v>
      </c>
      <c r="C47" s="28">
        <v>45778</v>
      </c>
      <c r="D47" s="29">
        <v>2</v>
      </c>
      <c r="E47" s="29">
        <v>3</v>
      </c>
      <c r="G47" s="17"/>
      <c r="H47" s="17"/>
      <c r="I47" s="17"/>
      <c r="J47" s="17"/>
    </row>
    <row r="48" spans="1:17" ht="22.5" customHeight="1">
      <c r="A48" s="27" t="s">
        <v>115</v>
      </c>
      <c r="B48" s="27" t="s">
        <v>116</v>
      </c>
      <c r="C48" s="29" t="s">
        <v>96</v>
      </c>
      <c r="D48" s="29">
        <v>3</v>
      </c>
      <c r="E48" s="28">
        <v>45778</v>
      </c>
      <c r="G48" s="17"/>
      <c r="H48" s="17"/>
      <c r="I48" s="17"/>
      <c r="J48" s="17"/>
    </row>
    <row r="49" spans="1:10" ht="22.5" customHeight="1">
      <c r="A49" s="27" t="s">
        <v>117</v>
      </c>
      <c r="B49" s="27" t="s">
        <v>118</v>
      </c>
      <c r="C49" s="29">
        <v>1</v>
      </c>
      <c r="D49" s="29">
        <v>3</v>
      </c>
      <c r="E49" s="29">
        <v>3</v>
      </c>
      <c r="G49" s="17"/>
      <c r="H49" s="17"/>
      <c r="I49" s="17"/>
      <c r="J49" s="17"/>
    </row>
    <row r="50" spans="1:10" ht="22.5" customHeight="1">
      <c r="A50" s="27" t="s">
        <v>119</v>
      </c>
      <c r="B50" s="27" t="s">
        <v>120</v>
      </c>
      <c r="C50" s="29" t="s">
        <v>96</v>
      </c>
      <c r="D50" s="29">
        <v>4</v>
      </c>
      <c r="E50" s="29">
        <v>2</v>
      </c>
      <c r="G50" s="17"/>
      <c r="H50" s="17"/>
      <c r="I50" s="17"/>
      <c r="J50" s="17"/>
    </row>
    <row r="51" spans="1:10" ht="22.5" customHeight="1">
      <c r="A51" s="27" t="s">
        <v>121</v>
      </c>
      <c r="B51" s="27" t="s">
        <v>122</v>
      </c>
      <c r="C51" s="29">
        <v>1</v>
      </c>
      <c r="D51" s="29">
        <v>4</v>
      </c>
      <c r="E51" s="29">
        <v>4</v>
      </c>
      <c r="G51" s="17"/>
      <c r="H51" s="17"/>
      <c r="I51" s="17"/>
      <c r="J51" s="17"/>
    </row>
    <row r="52" spans="1:10" ht="22.5" customHeight="1">
      <c r="A52" s="27" t="s">
        <v>123</v>
      </c>
      <c r="B52" s="27" t="s">
        <v>124</v>
      </c>
      <c r="C52" s="29">
        <v>2</v>
      </c>
      <c r="D52" s="29">
        <v>3</v>
      </c>
      <c r="E52" s="29">
        <v>6</v>
      </c>
      <c r="G52" s="17"/>
      <c r="H52" s="17"/>
      <c r="I52" s="17"/>
      <c r="J52" s="17"/>
    </row>
    <row r="53" spans="1:10" ht="22.5" customHeight="1">
      <c r="A53" s="27" t="s">
        <v>125</v>
      </c>
      <c r="B53" s="27" t="s">
        <v>126</v>
      </c>
      <c r="C53" s="29">
        <v>-1</v>
      </c>
      <c r="D53" s="29">
        <v>2</v>
      </c>
      <c r="E53" s="29">
        <v>-2</v>
      </c>
    </row>
    <row r="54" spans="1:10" ht="22.5" customHeight="1">
      <c r="A54" s="27" t="s">
        <v>127</v>
      </c>
      <c r="B54" s="27" t="s">
        <v>128</v>
      </c>
      <c r="C54" s="29">
        <v>2</v>
      </c>
      <c r="D54" s="29">
        <v>4</v>
      </c>
      <c r="E54" s="29">
        <v>8</v>
      </c>
    </row>
    <row r="55" spans="1:10" ht="22.5" customHeight="1">
      <c r="A55" s="27" t="s">
        <v>129</v>
      </c>
      <c r="B55" s="27"/>
      <c r="C55" s="27"/>
      <c r="D55" s="27"/>
      <c r="E55" s="30">
        <v>45800</v>
      </c>
    </row>
    <row r="56" spans="1:10" ht="16">
      <c r="A56" s="18"/>
    </row>
    <row r="57" spans="1:10" ht="16">
      <c r="A57" s="18"/>
    </row>
    <row r="58" spans="1:10" ht="18">
      <c r="A58" s="19"/>
    </row>
    <row r="59" spans="1:10" ht="22.5" customHeight="1">
      <c r="A59" s="23" t="s">
        <v>130</v>
      </c>
      <c r="B59" s="23" t="s">
        <v>131</v>
      </c>
      <c r="C59" s="23" t="s">
        <v>34</v>
      </c>
    </row>
    <row r="60" spans="1:10" ht="22.5" customHeight="1">
      <c r="A60" s="24">
        <v>0</v>
      </c>
      <c r="B60" s="24" t="s">
        <v>132</v>
      </c>
      <c r="C60" s="24" t="s">
        <v>133</v>
      </c>
    </row>
    <row r="61" spans="1:10" ht="22.5" customHeight="1">
      <c r="A61" s="24">
        <v>1</v>
      </c>
      <c r="B61" s="24" t="s">
        <v>134</v>
      </c>
      <c r="C61" s="24" t="s">
        <v>135</v>
      </c>
    </row>
    <row r="62" spans="1:10" ht="22.5" customHeight="1">
      <c r="A62" s="24">
        <v>2</v>
      </c>
      <c r="B62" s="24" t="s">
        <v>136</v>
      </c>
      <c r="C62" s="24" t="s">
        <v>137</v>
      </c>
    </row>
    <row r="63" spans="1:10" ht="22.5" customHeight="1">
      <c r="A63" s="24">
        <v>3</v>
      </c>
      <c r="B63" s="24" t="s">
        <v>138</v>
      </c>
      <c r="C63" s="24" t="s">
        <v>139</v>
      </c>
    </row>
    <row r="64" spans="1:10" ht="22.5" customHeight="1">
      <c r="A64" s="24">
        <v>4</v>
      </c>
      <c r="B64" s="24" t="s">
        <v>140</v>
      </c>
      <c r="C64" s="24" t="s">
        <v>141</v>
      </c>
    </row>
    <row r="65" spans="1:3" ht="22.5" customHeight="1">
      <c r="A65" s="24">
        <v>5</v>
      </c>
      <c r="B65" s="24" t="s">
        <v>142</v>
      </c>
      <c r="C65" s="24" t="s">
        <v>143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24"/>
  <sheetViews>
    <sheetView zoomScale="67" workbookViewId="0">
      <selection activeCell="E31" sqref="E31"/>
    </sheetView>
  </sheetViews>
  <sheetFormatPr baseColWidth="10" defaultColWidth="12.6640625" defaultRowHeight="15.75" customHeight="1"/>
  <cols>
    <col min="1" max="1" width="30.1640625" customWidth="1"/>
    <col min="2" max="2" width="19.6640625" customWidth="1"/>
    <col min="3" max="3" width="21.1640625" customWidth="1"/>
    <col min="4" max="4" width="24.33203125" customWidth="1"/>
    <col min="5" max="5" width="50" customWidth="1"/>
    <col min="6" max="6" width="16.6640625" customWidth="1"/>
    <col min="7" max="7" width="21.1640625" customWidth="1"/>
    <col min="8" max="8" width="16.5" customWidth="1"/>
    <col min="9" max="9" width="21.5" customWidth="1"/>
    <col min="10" max="10" width="24.33203125" customWidth="1"/>
    <col min="11" max="11" width="33" customWidth="1"/>
  </cols>
  <sheetData>
    <row r="1" spans="1:16" ht="18">
      <c r="A1" s="4"/>
      <c r="B1" s="8"/>
      <c r="C1" s="8"/>
      <c r="D1" s="8"/>
      <c r="E1" s="8"/>
      <c r="F1" s="8"/>
      <c r="G1" s="4"/>
      <c r="H1" s="8"/>
      <c r="I1" s="8"/>
      <c r="J1" s="8"/>
      <c r="K1" s="8"/>
      <c r="O1" s="8"/>
    </row>
    <row r="2" spans="1:16" ht="18">
      <c r="A2" s="12"/>
      <c r="B2" s="12"/>
      <c r="C2" s="12"/>
      <c r="D2" s="12"/>
      <c r="E2" s="12"/>
      <c r="F2" s="8"/>
      <c r="O2" s="8"/>
    </row>
    <row r="3" spans="1:16" ht="22.5" customHeight="1">
      <c r="A3" s="7" t="s">
        <v>144</v>
      </c>
      <c r="B3" s="7" t="s">
        <v>145</v>
      </c>
      <c r="C3" s="7" t="s">
        <v>146</v>
      </c>
      <c r="D3" s="7" t="s">
        <v>147</v>
      </c>
      <c r="E3" s="7" t="s">
        <v>148</v>
      </c>
      <c r="F3" s="8"/>
      <c r="O3" s="8"/>
    </row>
    <row r="4" spans="1:16" ht="22.5" customHeight="1">
      <c r="A4" s="10" t="s">
        <v>294</v>
      </c>
      <c r="B4" s="31" t="s">
        <v>297</v>
      </c>
      <c r="C4" s="32" t="s">
        <v>149</v>
      </c>
      <c r="D4" s="31" t="s">
        <v>149</v>
      </c>
      <c r="E4" s="10" t="s">
        <v>301</v>
      </c>
      <c r="F4" s="8"/>
      <c r="G4" s="7" t="s">
        <v>150</v>
      </c>
      <c r="H4" s="7" t="s">
        <v>151</v>
      </c>
      <c r="I4" s="7" t="s">
        <v>152</v>
      </c>
      <c r="J4" s="7" t="s">
        <v>153</v>
      </c>
      <c r="K4" s="7" t="s">
        <v>154</v>
      </c>
      <c r="O4" s="8"/>
    </row>
    <row r="5" spans="1:16" ht="22.5" customHeight="1">
      <c r="A5" s="10" t="s">
        <v>295</v>
      </c>
      <c r="B5" s="31" t="s">
        <v>298</v>
      </c>
      <c r="C5" s="32" t="s">
        <v>149</v>
      </c>
      <c r="D5" s="31" t="s">
        <v>149</v>
      </c>
      <c r="E5" s="10" t="s">
        <v>302</v>
      </c>
      <c r="F5" s="8"/>
      <c r="G5" s="10" t="s">
        <v>156</v>
      </c>
      <c r="H5" s="11" t="s">
        <v>157</v>
      </c>
      <c r="I5" s="11">
        <v>672</v>
      </c>
      <c r="J5" s="20">
        <v>45692</v>
      </c>
      <c r="K5" s="20">
        <v>45659</v>
      </c>
      <c r="O5" s="8"/>
    </row>
    <row r="6" spans="1:16" ht="22.5" customHeight="1">
      <c r="A6" s="10" t="s">
        <v>296</v>
      </c>
      <c r="B6" s="31" t="s">
        <v>155</v>
      </c>
      <c r="C6" s="31" t="s">
        <v>298</v>
      </c>
      <c r="D6" s="31" t="s">
        <v>149</v>
      </c>
      <c r="E6" s="10" t="s">
        <v>303</v>
      </c>
      <c r="F6" s="8"/>
      <c r="G6" s="10" t="s">
        <v>160</v>
      </c>
      <c r="H6" s="11" t="s">
        <v>161</v>
      </c>
      <c r="I6" s="11">
        <v>1490</v>
      </c>
      <c r="J6" s="20">
        <v>45725</v>
      </c>
      <c r="K6" s="20">
        <v>45842</v>
      </c>
      <c r="O6" s="8"/>
    </row>
    <row r="7" spans="1:16" ht="22.5" customHeight="1">
      <c r="A7" s="22" t="s">
        <v>158</v>
      </c>
      <c r="B7" s="33" t="s">
        <v>299</v>
      </c>
      <c r="C7" s="33" t="s">
        <v>300</v>
      </c>
      <c r="D7" s="33" t="s">
        <v>149</v>
      </c>
      <c r="E7" s="22" t="s">
        <v>159</v>
      </c>
      <c r="F7" s="8"/>
      <c r="G7" s="10" t="s">
        <v>162</v>
      </c>
      <c r="H7" s="11" t="s">
        <v>163</v>
      </c>
      <c r="I7" s="11">
        <v>800</v>
      </c>
      <c r="J7" s="11" t="s">
        <v>149</v>
      </c>
      <c r="K7" s="20">
        <v>45779</v>
      </c>
      <c r="O7" s="8"/>
    </row>
    <row r="8" spans="1:16" ht="22.5" customHeight="1">
      <c r="A8" s="13" t="s">
        <v>164</v>
      </c>
      <c r="B8" s="13"/>
      <c r="C8" s="13"/>
      <c r="D8" s="13"/>
      <c r="E8" s="8"/>
      <c r="F8" s="8"/>
      <c r="G8" s="10" t="s">
        <v>165</v>
      </c>
      <c r="H8" s="11" t="s">
        <v>166</v>
      </c>
      <c r="I8" s="11">
        <v>440</v>
      </c>
      <c r="J8" s="11" t="s">
        <v>167</v>
      </c>
      <c r="K8" s="20">
        <v>45748</v>
      </c>
      <c r="O8" s="8"/>
    </row>
    <row r="9" spans="1:16" ht="22.5" customHeight="1">
      <c r="A9" s="8"/>
      <c r="B9" s="8"/>
      <c r="C9" s="8"/>
      <c r="D9" s="8"/>
      <c r="E9" s="8"/>
      <c r="F9" s="8"/>
      <c r="G9" s="10" t="s">
        <v>168</v>
      </c>
      <c r="H9" s="11"/>
      <c r="I9" s="11">
        <v>851</v>
      </c>
      <c r="J9" s="20">
        <v>45721</v>
      </c>
      <c r="K9" s="20">
        <v>45840</v>
      </c>
      <c r="O9" s="8"/>
    </row>
    <row r="10" spans="1:16" ht="18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O10" s="8"/>
    </row>
    <row r="11" spans="1:16" ht="18">
      <c r="A11" s="8"/>
      <c r="B11" s="8"/>
      <c r="C11" s="8"/>
      <c r="D11" s="8"/>
      <c r="E11" s="8"/>
      <c r="F11" s="8"/>
      <c r="G11" s="13" t="s">
        <v>169</v>
      </c>
      <c r="H11" s="13"/>
      <c r="I11" s="13"/>
      <c r="J11" s="13"/>
      <c r="K11" s="8"/>
      <c r="L11" s="8"/>
      <c r="M11" s="8"/>
      <c r="N11" s="8"/>
      <c r="O11" s="8"/>
    </row>
    <row r="12" spans="1:16" ht="18">
      <c r="A12" s="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6" ht="18">
      <c r="A13" s="12"/>
      <c r="B13" s="12"/>
      <c r="C13" s="12"/>
      <c r="D13" s="12"/>
      <c r="E13" s="12"/>
      <c r="F13" s="8"/>
      <c r="H13" s="8"/>
      <c r="I13" s="8"/>
      <c r="J13" s="8"/>
      <c r="K13" s="8"/>
      <c r="L13" s="8"/>
      <c r="M13" s="8"/>
      <c r="N13" s="8"/>
      <c r="O13" s="8"/>
    </row>
    <row r="14" spans="1:16" ht="22.5" customHeight="1">
      <c r="A14" s="7" t="s">
        <v>170</v>
      </c>
      <c r="B14" s="7" t="s">
        <v>305</v>
      </c>
      <c r="C14" s="7" t="s">
        <v>306</v>
      </c>
      <c r="D14" s="7" t="s">
        <v>308</v>
      </c>
      <c r="E14" s="7" t="s">
        <v>171</v>
      </c>
      <c r="F14" s="7" t="s">
        <v>172</v>
      </c>
      <c r="G14" s="8"/>
      <c r="I14" s="8"/>
      <c r="J14" s="8"/>
      <c r="K14" s="8"/>
      <c r="L14" s="8"/>
      <c r="M14" s="8"/>
      <c r="N14" s="8"/>
      <c r="O14" s="8"/>
      <c r="P14" s="8"/>
    </row>
    <row r="15" spans="1:16" ht="22.5" customHeight="1">
      <c r="A15" s="10" t="s">
        <v>173</v>
      </c>
      <c r="B15" s="11">
        <v>30</v>
      </c>
      <c r="C15" s="11">
        <v>20</v>
      </c>
      <c r="D15" s="11">
        <v>10</v>
      </c>
      <c r="E15" s="11">
        <v>10</v>
      </c>
      <c r="F15" s="35">
        <v>60</v>
      </c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ht="22.5" customHeight="1">
      <c r="A16" s="10" t="s">
        <v>174</v>
      </c>
      <c r="B16" s="11">
        <v>180</v>
      </c>
      <c r="C16" s="11">
        <v>60</v>
      </c>
      <c r="D16" s="11">
        <v>20</v>
      </c>
      <c r="E16" s="11">
        <v>20</v>
      </c>
      <c r="F16" s="35">
        <v>260</v>
      </c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 ht="22.5" customHeight="1">
      <c r="A17" s="10" t="s">
        <v>175</v>
      </c>
      <c r="B17" s="11">
        <v>40</v>
      </c>
      <c r="C17" s="11">
        <v>160</v>
      </c>
      <c r="D17" s="11">
        <v>40</v>
      </c>
      <c r="E17" s="11">
        <v>20</v>
      </c>
      <c r="F17" s="35">
        <v>240</v>
      </c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 ht="22.5" customHeight="1">
      <c r="A18" s="10" t="s">
        <v>176</v>
      </c>
      <c r="B18" s="11">
        <v>80</v>
      </c>
      <c r="C18" s="11">
        <v>40</v>
      </c>
      <c r="D18" s="11">
        <v>10</v>
      </c>
      <c r="E18" s="11">
        <v>10</v>
      </c>
      <c r="F18" s="35">
        <v>130</v>
      </c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ht="22.5" customHeight="1">
      <c r="A19" s="10" t="s">
        <v>177</v>
      </c>
      <c r="B19" s="11">
        <v>60</v>
      </c>
      <c r="C19" s="11">
        <v>60</v>
      </c>
      <c r="D19" s="11">
        <v>40</v>
      </c>
      <c r="E19" s="11">
        <v>40</v>
      </c>
      <c r="F19" s="35">
        <v>160</v>
      </c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ht="22.5" customHeight="1">
      <c r="A20" s="10" t="s">
        <v>178</v>
      </c>
      <c r="B20" s="11">
        <v>20</v>
      </c>
      <c r="C20" s="11">
        <v>30</v>
      </c>
      <c r="D20" s="11">
        <v>20</v>
      </c>
      <c r="E20" s="11">
        <v>10</v>
      </c>
      <c r="F20" s="35">
        <v>70</v>
      </c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ht="22.5" customHeight="1">
      <c r="A21" s="10" t="s">
        <v>179</v>
      </c>
      <c r="B21" s="11" t="s">
        <v>304</v>
      </c>
      <c r="C21" s="34" t="s">
        <v>307</v>
      </c>
      <c r="D21" s="11" t="s">
        <v>309</v>
      </c>
      <c r="E21" s="11" t="s">
        <v>180</v>
      </c>
      <c r="F21" s="35" t="s">
        <v>310</v>
      </c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ht="18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6" ht="18">
      <c r="A23" s="13" t="s">
        <v>181</v>
      </c>
      <c r="B23" s="13"/>
      <c r="C23" s="13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6" ht="18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</sheetData>
  <dataValidations count="1">
    <dataValidation type="custom" allowBlank="1" showDropDown="1" sqref="K5:K9" xr:uid="{00000000-0002-0000-0200-000000000000}">
      <formula1>OR(NOT(ISERROR(DATEVALUE(K5))), AND(ISNUMBER(K5), LEFT(CELL("format", K5))="D"))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Вводные данные</vt:lpstr>
      <vt:lpstr>Основные вычисления</vt:lpstr>
      <vt:lpstr>Итог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Данила Свиридов</cp:lastModifiedBy>
  <dcterms:modified xsi:type="dcterms:W3CDTF">2025-12-26T11:57:38Z</dcterms:modified>
</cp:coreProperties>
</file>