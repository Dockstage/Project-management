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Денис\Desktop\"/>
    </mc:Choice>
  </mc:AlternateContent>
  <xr:revisionPtr revIDLastSave="0" documentId="13_ncr:1_{B312397C-5DCB-44F7-873B-D4BCAA9B13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8" i="1" l="1"/>
  <c r="E48" i="1"/>
  <c r="D48" i="1"/>
  <c r="F47" i="1"/>
  <c r="E47" i="1"/>
  <c r="D47" i="1"/>
  <c r="F46" i="1"/>
  <c r="E46" i="1"/>
  <c r="D46" i="1"/>
  <c r="F45" i="1"/>
  <c r="E45" i="1"/>
  <c r="D45" i="1"/>
  <c r="F44" i="1"/>
  <c r="E44" i="1"/>
  <c r="D44" i="1"/>
  <c r="F43" i="1"/>
  <c r="E43" i="1"/>
  <c r="D43" i="1"/>
  <c r="F42" i="1"/>
  <c r="E42" i="1"/>
  <c r="D42" i="1"/>
  <c r="F41" i="1"/>
  <c r="E41" i="1"/>
  <c r="D41" i="1"/>
  <c r="F40" i="1"/>
  <c r="E40" i="1"/>
  <c r="D40" i="1"/>
  <c r="F39" i="1"/>
  <c r="E39" i="1"/>
  <c r="D39" i="1"/>
  <c r="F38" i="1"/>
  <c r="E38" i="1"/>
  <c r="D38" i="1"/>
  <c r="F37" i="1"/>
  <c r="E37" i="1"/>
  <c r="D37" i="1"/>
  <c r="F36" i="1"/>
  <c r="E36" i="1"/>
  <c r="D36" i="1"/>
  <c r="F35" i="1"/>
  <c r="E35" i="1"/>
  <c r="D35" i="1"/>
  <c r="F34" i="1"/>
  <c r="E34" i="1"/>
  <c r="D34" i="1"/>
  <c r="F33" i="1"/>
  <c r="E33" i="1"/>
  <c r="D33" i="1"/>
  <c r="F56" i="1" l="1"/>
  <c r="L37" i="1" s="1"/>
  <c r="F66" i="1"/>
  <c r="L47" i="1" s="1"/>
  <c r="E60" i="1"/>
  <c r="K41" i="1" s="1"/>
  <c r="F67" i="1"/>
  <c r="L48" i="1" s="1"/>
  <c r="D57" i="1"/>
  <c r="J38" i="1" s="1"/>
  <c r="D53" i="1"/>
  <c r="J34" i="1" s="1"/>
  <c r="E63" i="1"/>
  <c r="K44" i="1" s="1"/>
  <c r="E58" i="1"/>
  <c r="K39" i="1" s="1"/>
  <c r="D63" i="1"/>
  <c r="J44" i="1" s="1"/>
  <c r="F58" i="1"/>
  <c r="L39" i="1" s="1"/>
  <c r="E54" i="1"/>
  <c r="K35" i="1" s="1"/>
  <c r="D60" i="1"/>
  <c r="J41" i="1" s="1"/>
  <c r="F60" i="1"/>
  <c r="L41" i="1" s="1"/>
  <c r="F62" i="1"/>
  <c r="L43" i="1" s="1"/>
  <c r="E55" i="1"/>
  <c r="K36" i="1" s="1"/>
  <c r="E61" i="1"/>
  <c r="K42" i="1" s="1"/>
  <c r="D67" i="1"/>
  <c r="J48" i="1" s="1"/>
  <c r="D64" i="1"/>
  <c r="J45" i="1" s="1"/>
  <c r="D58" i="1"/>
  <c r="J39" i="1" s="1"/>
  <c r="D61" i="1"/>
  <c r="J42" i="1" s="1"/>
  <c r="F52" i="1"/>
  <c r="L33" i="1" s="1"/>
  <c r="E64" i="1"/>
  <c r="K45" i="1" s="1"/>
  <c r="E67" i="1"/>
  <c r="K48" i="1" s="1"/>
  <c r="E52" i="1"/>
  <c r="K33" i="1" s="1"/>
  <c r="D55" i="1"/>
  <c r="J36" i="1" s="1"/>
  <c r="F65" i="1"/>
  <c r="L46" i="1" s="1"/>
  <c r="F54" i="1"/>
  <c r="L35" i="1" s="1"/>
  <c r="F64" i="1"/>
  <c r="L45" i="1" s="1"/>
  <c r="D54" i="1"/>
  <c r="J35" i="1" s="1"/>
  <c r="F61" i="1"/>
  <c r="L42" i="1" s="1"/>
  <c r="D52" i="1"/>
  <c r="J33" i="1" s="1"/>
  <c r="E62" i="1"/>
  <c r="K43" i="1" s="1"/>
  <c r="E65" i="1"/>
  <c r="K46" i="1" s="1"/>
  <c r="F55" i="1"/>
  <c r="L36" i="1" s="1"/>
  <c r="D66" i="1"/>
  <c r="J47" i="1" s="1"/>
  <c r="F59" i="1"/>
  <c r="L40" i="1" s="1"/>
  <c r="D62" i="1"/>
  <c r="J43" i="1" s="1"/>
  <c r="D65" i="1"/>
  <c r="J46" i="1" s="1"/>
  <c r="E56" i="1"/>
  <c r="K37" i="1" s="1"/>
  <c r="E66" i="1"/>
  <c r="K47" i="1" s="1"/>
  <c r="F53" i="1"/>
  <c r="L34" i="1" s="1"/>
  <c r="D56" i="1"/>
  <c r="J37" i="1" s="1"/>
  <c r="E59" i="1"/>
  <c r="K40" i="1" s="1"/>
  <c r="E53" i="1"/>
  <c r="K34" i="1" s="1"/>
  <c r="D59" i="1"/>
  <c r="J40" i="1" s="1"/>
  <c r="F63" i="1"/>
  <c r="L44" i="1" s="1"/>
  <c r="F57" i="1"/>
  <c r="L38" i="1" s="1"/>
  <c r="E57" i="1"/>
  <c r="K38" i="1" s="1"/>
  <c r="N64" i="1" l="1"/>
  <c r="I64" i="1"/>
  <c r="O56" i="1"/>
  <c r="M64" i="1"/>
  <c r="M56" i="1"/>
  <c r="M52" i="1"/>
  <c r="I52" i="1"/>
  <c r="K52" i="1"/>
  <c r="M60" i="1"/>
  <c r="I60" i="1"/>
  <c r="K64" i="1"/>
  <c r="J64" i="1"/>
  <c r="I83" i="1" s="1"/>
  <c r="O60" i="1"/>
  <c r="I56" i="1"/>
  <c r="K56" i="1"/>
  <c r="N52" i="1"/>
  <c r="N60" i="1"/>
  <c r="J60" i="1"/>
  <c r="K60" i="1"/>
  <c r="O64" i="1"/>
  <c r="O52" i="1"/>
  <c r="J56" i="1"/>
  <c r="J52" i="1"/>
  <c r="N56" i="1"/>
  <c r="I80" i="1" l="1"/>
  <c r="I87" i="1"/>
  <c r="O87" i="1"/>
  <c r="I73" i="1"/>
  <c r="I75" i="1"/>
  <c r="O75" i="1"/>
  <c r="I85" i="1"/>
  <c r="I79" i="1"/>
  <c r="O82" i="1"/>
  <c r="I81" i="1"/>
  <c r="O72" i="1"/>
  <c r="O86" i="1"/>
  <c r="O78" i="1"/>
  <c r="O74" i="1"/>
  <c r="I86" i="1"/>
  <c r="I78" i="1"/>
  <c r="I77" i="1"/>
  <c r="O76" i="1"/>
  <c r="I82" i="1"/>
  <c r="O79" i="1"/>
  <c r="I76" i="1"/>
  <c r="I74" i="1"/>
  <c r="O80" i="1"/>
  <c r="O84" i="1"/>
  <c r="I72" i="1"/>
  <c r="I84" i="1"/>
  <c r="O83" i="1"/>
  <c r="O77" i="1"/>
  <c r="O85" i="1"/>
  <c r="O73" i="1"/>
  <c r="O81" i="1"/>
  <c r="C71" i="1" l="1"/>
  <c r="B73" i="1"/>
  <c r="B72" i="1"/>
  <c r="B74" i="1"/>
  <c r="B71" i="1"/>
  <c r="C74" i="1"/>
  <c r="C72" i="1"/>
  <c r="C73" i="1"/>
  <c r="D71" i="1" l="1"/>
  <c r="D73" i="1"/>
  <c r="D72" i="1"/>
  <c r="D74" i="1"/>
  <c r="E72" i="1" l="1"/>
  <c r="E73" i="1"/>
  <c r="E71" i="1"/>
  <c r="E74" i="1"/>
</calcChain>
</file>

<file path=xl/sharedStrings.xml><?xml version="1.0" encoding="utf-8"?>
<sst xmlns="http://schemas.openxmlformats.org/spreadsheetml/2006/main" count="219" uniqueCount="45">
  <si>
    <t>Оценка критериев (x)</t>
  </si>
  <si>
    <t>Трехточечная оценка</t>
  </si>
  <si>
    <t>#1</t>
  </si>
  <si>
    <t>#2</t>
  </si>
  <si>
    <t>#3</t>
  </si>
  <si>
    <t>Пессимистичная</t>
  </si>
  <si>
    <t>Ожидаемая</t>
  </si>
  <si>
    <t>Оптимистичная</t>
  </si>
  <si>
    <t>Критерии</t>
  </si>
  <si>
    <t>Концепции</t>
  </si>
  <si>
    <t>Критерий</t>
  </si>
  <si>
    <t>C1</t>
  </si>
  <si>
    <t>№1</t>
  </si>
  <si>
    <t>№2</t>
  </si>
  <si>
    <t>№3</t>
  </si>
  <si>
    <t>A</t>
  </si>
  <si>
    <t>C2</t>
  </si>
  <si>
    <t>B</t>
  </si>
  <si>
    <t>C3</t>
  </si>
  <si>
    <t>C</t>
  </si>
  <si>
    <t>C4</t>
  </si>
  <si>
    <t>D</t>
  </si>
  <si>
    <t>Веса</t>
  </si>
  <si>
    <t>Объединенная оценка</t>
  </si>
  <si>
    <t>Взвешенная оценка</t>
  </si>
  <si>
    <t>Нормализованная оценка</t>
  </si>
  <si>
    <t>Идеальный кандидат</t>
  </si>
  <si>
    <t>Анти Идеальный кандидат</t>
  </si>
  <si>
    <t>Расстояние до идеального кандидата</t>
  </si>
  <si>
    <t>Расстояние до анти идеального кандидата</t>
  </si>
  <si>
    <t>d ∗ i</t>
  </si>
  <si>
    <t>d - i</t>
  </si>
  <si>
    <t>Коэффициент близости</t>
  </si>
  <si>
    <t>Ранг</t>
  </si>
  <si>
    <t>Менеджер продуктов для дома</t>
  </si>
  <si>
    <t>Управление домашней библиотекой</t>
  </si>
  <si>
    <t>Mini-CRM для фрилансера</t>
  </si>
  <si>
    <t>Сложность реализации</t>
  </si>
  <si>
    <t>Размер рынка</t>
  </si>
  <si>
    <t>Время на разработку</t>
  </si>
  <si>
    <t>Пользовательская ценность</t>
  </si>
  <si>
    <t>Асатрян Гагик</t>
  </si>
  <si>
    <t>Бражников Денис</t>
  </si>
  <si>
    <t>Свиридов Данила</t>
  </si>
  <si>
    <t>SmartLocker - система управления умными офисным шкафчиком для сотрудников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</si>
</sst>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0"/>
      <color rgb="FF000000"/>
      <name val="Arial"/>
      <scheme val="minor"/>
    </font>
    <font>
      <b/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12"/>
      <color theme="1"/>
      <name val="&quot;gg sans&quot;"/>
    </font>
    <font>
      <sz val="12"/>
      <color rgb="FF000000"/>
      <name val="-apple-system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0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7" tint="0.59999389629810485"/>
        <bgColor theme="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46BDC6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70">
    <xf numFmtId="0" fontId="0" fillId="0" borderId="0" xfId="0" applyFont="1" applyAlignment="1"/>
    <xf numFmtId="0" fontId="3" fillId="2" borderId="0" xfId="0" applyFont="1" applyFill="1"/>
    <xf numFmtId="0" fontId="4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6" fillId="0" borderId="6" xfId="0" applyFont="1" applyBorder="1" applyAlignment="1">
      <alignment horizontal="left"/>
    </xf>
    <xf numFmtId="0" fontId="1" fillId="2" borderId="5" xfId="0" applyFont="1" applyFill="1" applyBorder="1" applyAlignment="1"/>
    <xf numFmtId="0" fontId="4" fillId="0" borderId="5" xfId="0" applyFont="1" applyBorder="1" applyAlignment="1">
      <alignment horizontal="right"/>
    </xf>
    <xf numFmtId="0" fontId="6" fillId="0" borderId="7" xfId="0" applyFont="1" applyBorder="1" applyAlignment="1">
      <alignment horizontal="left"/>
    </xf>
    <xf numFmtId="0" fontId="3" fillId="2" borderId="7" xfId="0" applyFont="1" applyFill="1" applyBorder="1"/>
    <xf numFmtId="0" fontId="3" fillId="2" borderId="8" xfId="0" applyFont="1" applyFill="1" applyBorder="1"/>
    <xf numFmtId="2" fontId="4" fillId="2" borderId="5" xfId="0" applyNumberFormat="1" applyFont="1" applyFill="1" applyBorder="1" applyAlignment="1">
      <alignment horizontal="right"/>
    </xf>
    <xf numFmtId="0" fontId="3" fillId="0" borderId="0" xfId="0" applyFont="1"/>
    <xf numFmtId="0" fontId="3" fillId="0" borderId="5" xfId="0" applyFont="1" applyBorder="1"/>
    <xf numFmtId="4" fontId="3" fillId="0" borderId="5" xfId="0" applyNumberFormat="1" applyFont="1" applyBorder="1"/>
    <xf numFmtId="0" fontId="10" fillId="0" borderId="5" xfId="0" applyFont="1" applyBorder="1"/>
    <xf numFmtId="4" fontId="10" fillId="0" borderId="5" xfId="0" applyNumberFormat="1" applyFont="1" applyBorder="1"/>
    <xf numFmtId="0" fontId="1" fillId="3" borderId="5" xfId="0" applyFont="1" applyFill="1" applyBorder="1" applyAlignment="1">
      <alignment horizontal="center"/>
    </xf>
    <xf numFmtId="0" fontId="5" fillId="3" borderId="5" xfId="0" applyFont="1" applyFill="1" applyBorder="1" applyAlignment="1"/>
    <xf numFmtId="0" fontId="5" fillId="3" borderId="1" xfId="0" applyFont="1" applyFill="1" applyBorder="1" applyAlignment="1"/>
    <xf numFmtId="0" fontId="3" fillId="3" borderId="5" xfId="0" applyFont="1" applyFill="1" applyBorder="1" applyAlignment="1"/>
    <xf numFmtId="0" fontId="3" fillId="3" borderId="5" xfId="0" applyFont="1" applyFill="1" applyBorder="1" applyAlignment="1">
      <alignment wrapText="1"/>
    </xf>
    <xf numFmtId="0" fontId="5" fillId="3" borderId="14" xfId="0" applyFont="1" applyFill="1" applyBorder="1" applyAlignment="1"/>
    <xf numFmtId="0" fontId="5" fillId="3" borderId="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2" fillId="4" borderId="9" xfId="0" applyFont="1" applyFill="1" applyBorder="1"/>
    <xf numFmtId="0" fontId="2" fillId="4" borderId="4" xfId="0" applyFont="1" applyFill="1" applyBorder="1"/>
    <xf numFmtId="0" fontId="4" fillId="0" borderId="6" xfId="0" applyFont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2" fillId="4" borderId="11" xfId="0" applyFont="1" applyFill="1" applyBorder="1"/>
    <xf numFmtId="0" fontId="2" fillId="4" borderId="12" xfId="0" applyFont="1" applyFill="1" applyBorder="1"/>
    <xf numFmtId="0" fontId="2" fillId="4" borderId="13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4" fontId="8" fillId="0" borderId="6" xfId="0" applyNumberFormat="1" applyFont="1" applyBorder="1" applyAlignment="1">
      <alignment horizontal="right"/>
    </xf>
    <xf numFmtId="0" fontId="2" fillId="4" borderId="2" xfId="0" applyFont="1" applyFill="1" applyBorder="1"/>
    <xf numFmtId="0" fontId="2" fillId="4" borderId="3" xfId="0" applyFont="1" applyFill="1" applyBorder="1"/>
    <xf numFmtId="0" fontId="7" fillId="2" borderId="7" xfId="0" applyFont="1" applyFill="1" applyBorder="1" applyAlignment="1"/>
    <xf numFmtId="0" fontId="2" fillId="0" borderId="7" xfId="0" applyFont="1" applyBorder="1"/>
    <xf numFmtId="43" fontId="1" fillId="3" borderId="1" xfId="1" applyFont="1" applyFill="1" applyBorder="1" applyAlignment="1">
      <alignment horizontal="center"/>
    </xf>
    <xf numFmtId="43" fontId="1" fillId="3" borderId="4" xfId="1" applyFont="1" applyFill="1" applyBorder="1" applyAlignment="1">
      <alignment horizontal="center"/>
    </xf>
    <xf numFmtId="0" fontId="1" fillId="3" borderId="1" xfId="0" applyFont="1" applyFill="1" applyBorder="1" applyAlignment="1"/>
    <xf numFmtId="0" fontId="8" fillId="5" borderId="1" xfId="0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7" fillId="2" borderId="16" xfId="0" applyFont="1" applyFill="1" applyBorder="1" applyAlignment="1"/>
    <xf numFmtId="0" fontId="0" fillId="0" borderId="17" xfId="0" applyFont="1" applyBorder="1" applyAlignment="1"/>
    <xf numFmtId="0" fontId="7" fillId="2" borderId="15" xfId="0" applyFont="1" applyFill="1" applyBorder="1" applyAlignment="1"/>
    <xf numFmtId="0" fontId="0" fillId="0" borderId="15" xfId="0" applyFont="1" applyBorder="1" applyAlignment="1"/>
    <xf numFmtId="0" fontId="2" fillId="0" borderId="17" xfId="0" applyFont="1" applyBorder="1"/>
    <xf numFmtId="0" fontId="2" fillId="0" borderId="15" xfId="0" applyFont="1" applyBorder="1"/>
    <xf numFmtId="0" fontId="5" fillId="3" borderId="9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S94"/>
  <sheetViews>
    <sheetView tabSelected="1" topLeftCell="A6" workbookViewId="0">
      <selection activeCell="M95" sqref="M95"/>
    </sheetView>
  </sheetViews>
  <sheetFormatPr defaultColWidth="12.5703125" defaultRowHeight="15.75" customHeight="1"/>
  <cols>
    <col min="2" max="2" width="19.7109375" customWidth="1"/>
    <col min="15" max="15" width="34" customWidth="1"/>
    <col min="22" max="22" width="12.5703125" customWidth="1"/>
  </cols>
  <sheetData>
    <row r="3" spans="2:17" ht="12.75">
      <c r="B3" s="38" t="s">
        <v>0</v>
      </c>
      <c r="C3" s="44" t="s">
        <v>1</v>
      </c>
      <c r="D3" s="53"/>
      <c r="E3" s="54"/>
      <c r="G3" s="19" t="s">
        <v>8</v>
      </c>
      <c r="H3" s="3"/>
      <c r="I3" s="4"/>
      <c r="J3" s="5"/>
      <c r="L3" s="19" t="s">
        <v>9</v>
      </c>
      <c r="M3" s="3"/>
      <c r="N3" s="4"/>
      <c r="O3" s="4"/>
    </row>
    <row r="4" spans="2:17" ht="15">
      <c r="B4" s="34"/>
      <c r="C4" s="18" t="s">
        <v>2</v>
      </c>
      <c r="D4" s="18" t="s">
        <v>3</v>
      </c>
      <c r="E4" s="18" t="s">
        <v>4</v>
      </c>
      <c r="G4" s="19" t="s">
        <v>11</v>
      </c>
      <c r="H4" s="6" t="s">
        <v>37</v>
      </c>
      <c r="I4" s="4"/>
      <c r="J4" s="5"/>
      <c r="L4" s="19" t="s">
        <v>15</v>
      </c>
      <c r="M4" s="55" t="s">
        <v>44</v>
      </c>
      <c r="N4" s="56"/>
      <c r="O4" s="56"/>
    </row>
    <row r="5" spans="2:17" ht="15">
      <c r="B5" s="18" t="s">
        <v>5</v>
      </c>
      <c r="C5" s="2">
        <v>1</v>
      </c>
      <c r="D5" s="2">
        <v>3</v>
      </c>
      <c r="E5" s="2">
        <v>5</v>
      </c>
      <c r="G5" s="19" t="s">
        <v>16</v>
      </c>
      <c r="H5" s="6" t="s">
        <v>38</v>
      </c>
      <c r="I5" s="4"/>
      <c r="J5" s="5"/>
      <c r="L5" s="19" t="s">
        <v>17</v>
      </c>
      <c r="M5" s="55" t="s">
        <v>34</v>
      </c>
      <c r="N5" s="56"/>
      <c r="O5" s="56"/>
    </row>
    <row r="6" spans="2:17" ht="15">
      <c r="B6" s="18" t="s">
        <v>6</v>
      </c>
      <c r="C6" s="2">
        <v>3</v>
      </c>
      <c r="D6" s="2">
        <v>5</v>
      </c>
      <c r="E6" s="2">
        <v>7</v>
      </c>
      <c r="G6" s="19" t="s">
        <v>18</v>
      </c>
      <c r="H6" s="6" t="s">
        <v>39</v>
      </c>
      <c r="I6" s="4"/>
      <c r="J6" s="5"/>
      <c r="L6" s="20" t="s">
        <v>19</v>
      </c>
      <c r="M6" s="63" t="s">
        <v>36</v>
      </c>
      <c r="N6" s="64"/>
      <c r="O6" s="67"/>
    </row>
    <row r="7" spans="2:17" ht="15">
      <c r="B7" s="18" t="s">
        <v>7</v>
      </c>
      <c r="C7" s="2">
        <v>5</v>
      </c>
      <c r="D7" s="2">
        <v>7</v>
      </c>
      <c r="E7" s="2">
        <v>9</v>
      </c>
      <c r="G7" s="19" t="s">
        <v>20</v>
      </c>
      <c r="H7" s="9" t="s">
        <v>40</v>
      </c>
      <c r="I7" s="10"/>
      <c r="J7" s="11"/>
      <c r="L7" s="23" t="s">
        <v>21</v>
      </c>
      <c r="M7" s="65" t="s">
        <v>35</v>
      </c>
      <c r="N7" s="66"/>
      <c r="O7" s="68"/>
    </row>
    <row r="8" spans="2:17" ht="12.75"/>
    <row r="9" spans="2:17" ht="12.75"/>
    <row r="10" spans="2:17" ht="12.75"/>
    <row r="11" spans="2:17" ht="12.75">
      <c r="B11" s="38" t="s">
        <v>9</v>
      </c>
      <c r="C11" s="38" t="s">
        <v>10</v>
      </c>
      <c r="D11" s="43" t="s">
        <v>41</v>
      </c>
      <c r="E11" s="44"/>
      <c r="F11" s="45"/>
      <c r="G11" s="43" t="s">
        <v>42</v>
      </c>
      <c r="H11" s="44"/>
      <c r="I11" s="45"/>
      <c r="J11" s="44" t="s">
        <v>43</v>
      </c>
      <c r="K11" s="53"/>
      <c r="L11" s="54"/>
      <c r="N11" s="23"/>
      <c r="O11" s="24" t="s">
        <v>22</v>
      </c>
      <c r="P11" s="69"/>
      <c r="Q11" s="69"/>
    </row>
    <row r="12" spans="2:17" ht="12.75">
      <c r="B12" s="39"/>
      <c r="C12" s="39"/>
      <c r="D12" s="18" t="s">
        <v>12</v>
      </c>
      <c r="E12" s="18" t="s">
        <v>13</v>
      </c>
      <c r="F12" s="18" t="s">
        <v>14</v>
      </c>
      <c r="G12" s="18" t="s">
        <v>12</v>
      </c>
      <c r="H12" s="18" t="s">
        <v>13</v>
      </c>
      <c r="I12" s="18" t="s">
        <v>14</v>
      </c>
      <c r="J12" s="18" t="s">
        <v>12</v>
      </c>
      <c r="K12" s="18" t="s">
        <v>13</v>
      </c>
      <c r="L12" s="18" t="s">
        <v>14</v>
      </c>
      <c r="N12" s="25" t="s">
        <v>8</v>
      </c>
      <c r="O12" s="24" t="s">
        <v>12</v>
      </c>
      <c r="P12" s="24" t="s">
        <v>13</v>
      </c>
      <c r="Q12" s="24" t="s">
        <v>14</v>
      </c>
    </row>
    <row r="13" spans="2:17" ht="12.75">
      <c r="B13" s="38" t="s">
        <v>15</v>
      </c>
      <c r="C13" s="7" t="s">
        <v>11</v>
      </c>
      <c r="D13" s="8">
        <v>2</v>
      </c>
      <c r="E13" s="8">
        <v>4</v>
      </c>
      <c r="F13" s="8">
        <v>5</v>
      </c>
      <c r="G13" s="8">
        <v>3</v>
      </c>
      <c r="H13" s="8">
        <v>5</v>
      </c>
      <c r="I13" s="8">
        <v>6</v>
      </c>
      <c r="J13" s="8">
        <v>2</v>
      </c>
      <c r="K13" s="8">
        <v>3</v>
      </c>
      <c r="L13" s="8">
        <v>5</v>
      </c>
      <c r="N13" s="25" t="s">
        <v>11</v>
      </c>
      <c r="O13" s="2">
        <v>5</v>
      </c>
      <c r="P13" s="2">
        <v>7</v>
      </c>
      <c r="Q13" s="2">
        <v>9</v>
      </c>
    </row>
    <row r="14" spans="2:17" ht="12.75">
      <c r="B14" s="32"/>
      <c r="C14" s="7" t="s">
        <v>16</v>
      </c>
      <c r="D14" s="8">
        <v>5</v>
      </c>
      <c r="E14" s="8">
        <v>6</v>
      </c>
      <c r="F14" s="8">
        <v>7</v>
      </c>
      <c r="G14" s="8">
        <v>2</v>
      </c>
      <c r="H14" s="8">
        <v>4</v>
      </c>
      <c r="I14" s="8">
        <v>5</v>
      </c>
      <c r="J14" s="8">
        <v>3</v>
      </c>
      <c r="K14" s="8">
        <v>4</v>
      </c>
      <c r="L14" s="8">
        <v>5</v>
      </c>
      <c r="N14" s="25" t="s">
        <v>16</v>
      </c>
      <c r="O14" s="2">
        <v>3</v>
      </c>
      <c r="P14" s="2">
        <v>5</v>
      </c>
      <c r="Q14" s="2">
        <v>7</v>
      </c>
    </row>
    <row r="15" spans="2:17" ht="12.75">
      <c r="B15" s="32"/>
      <c r="C15" s="7" t="s">
        <v>18</v>
      </c>
      <c r="D15" s="8">
        <v>1</v>
      </c>
      <c r="E15" s="8">
        <v>3</v>
      </c>
      <c r="F15" s="8">
        <v>5</v>
      </c>
      <c r="G15" s="8">
        <v>3</v>
      </c>
      <c r="H15" s="8">
        <v>5</v>
      </c>
      <c r="I15" s="8">
        <v>6</v>
      </c>
      <c r="J15" s="8">
        <v>3</v>
      </c>
      <c r="K15" s="8">
        <v>4</v>
      </c>
      <c r="L15" s="8">
        <v>5</v>
      </c>
      <c r="N15" s="25" t="s">
        <v>18</v>
      </c>
      <c r="O15" s="2">
        <v>1</v>
      </c>
      <c r="P15" s="2">
        <v>3</v>
      </c>
      <c r="Q15" s="2">
        <v>5</v>
      </c>
    </row>
    <row r="16" spans="2:17" ht="15.75" customHeight="1">
      <c r="B16" s="39"/>
      <c r="C16" s="7" t="s">
        <v>20</v>
      </c>
      <c r="D16" s="8">
        <v>1</v>
      </c>
      <c r="E16" s="8">
        <v>5</v>
      </c>
      <c r="F16" s="8">
        <v>7</v>
      </c>
      <c r="G16" s="8">
        <v>3</v>
      </c>
      <c r="H16" s="8">
        <v>5</v>
      </c>
      <c r="I16" s="8">
        <v>7</v>
      </c>
      <c r="J16" s="8">
        <v>3</v>
      </c>
      <c r="K16" s="8">
        <v>5</v>
      </c>
      <c r="L16" s="8">
        <v>7</v>
      </c>
      <c r="N16" s="25" t="s">
        <v>20</v>
      </c>
      <c r="O16" s="2">
        <v>3</v>
      </c>
      <c r="P16" s="2">
        <v>5</v>
      </c>
      <c r="Q16" s="2">
        <v>7</v>
      </c>
    </row>
    <row r="17" spans="2:12" ht="15.75" customHeight="1">
      <c r="B17" s="40" t="s">
        <v>17</v>
      </c>
      <c r="C17" s="7" t="s">
        <v>11</v>
      </c>
      <c r="D17" s="8">
        <v>3</v>
      </c>
      <c r="E17" s="8">
        <v>5</v>
      </c>
      <c r="F17" s="8">
        <v>7</v>
      </c>
      <c r="G17" s="8">
        <v>3</v>
      </c>
      <c r="H17" s="8">
        <v>5</v>
      </c>
      <c r="I17" s="8">
        <v>7</v>
      </c>
      <c r="J17" s="8">
        <v>3</v>
      </c>
      <c r="K17" s="8">
        <v>5</v>
      </c>
      <c r="L17" s="8">
        <v>7</v>
      </c>
    </row>
    <row r="18" spans="2:12" ht="15.75" customHeight="1">
      <c r="B18" s="41"/>
      <c r="C18" s="7" t="s">
        <v>16</v>
      </c>
      <c r="D18" s="8">
        <v>5</v>
      </c>
      <c r="E18" s="8">
        <v>7</v>
      </c>
      <c r="F18" s="8">
        <v>9</v>
      </c>
      <c r="G18" s="8">
        <v>5</v>
      </c>
      <c r="H18" s="8">
        <v>7</v>
      </c>
      <c r="I18" s="8">
        <v>9</v>
      </c>
      <c r="J18" s="8">
        <v>5</v>
      </c>
      <c r="K18" s="8">
        <v>7</v>
      </c>
      <c r="L18" s="8">
        <v>9</v>
      </c>
    </row>
    <row r="19" spans="2:12" ht="15.75" customHeight="1">
      <c r="B19" s="41"/>
      <c r="C19" s="7" t="s">
        <v>18</v>
      </c>
      <c r="D19" s="8">
        <v>1</v>
      </c>
      <c r="E19" s="8">
        <v>3</v>
      </c>
      <c r="F19" s="8">
        <v>5</v>
      </c>
      <c r="G19" s="8">
        <v>1</v>
      </c>
      <c r="H19" s="8">
        <v>3</v>
      </c>
      <c r="I19" s="8">
        <v>5</v>
      </c>
      <c r="J19" s="8">
        <v>3</v>
      </c>
      <c r="K19" s="8">
        <v>5</v>
      </c>
      <c r="L19" s="8">
        <v>7</v>
      </c>
    </row>
    <row r="20" spans="2:12" ht="15.75" customHeight="1">
      <c r="B20" s="42"/>
      <c r="C20" s="7" t="s">
        <v>20</v>
      </c>
      <c r="D20" s="8">
        <v>3</v>
      </c>
      <c r="E20" s="8">
        <v>5</v>
      </c>
      <c r="F20" s="8">
        <v>7</v>
      </c>
      <c r="G20" s="8">
        <v>3</v>
      </c>
      <c r="H20" s="8">
        <v>5</v>
      </c>
      <c r="I20" s="8">
        <v>7</v>
      </c>
      <c r="J20" s="8">
        <v>5</v>
      </c>
      <c r="K20" s="8">
        <v>6</v>
      </c>
      <c r="L20" s="8">
        <v>9</v>
      </c>
    </row>
    <row r="21" spans="2:12" ht="15.75" customHeight="1">
      <c r="B21" s="38" t="s">
        <v>19</v>
      </c>
      <c r="C21" s="7" t="s">
        <v>11</v>
      </c>
      <c r="D21" s="8">
        <v>5</v>
      </c>
      <c r="E21" s="8">
        <v>7</v>
      </c>
      <c r="F21" s="8">
        <v>9</v>
      </c>
      <c r="G21" s="8">
        <v>3</v>
      </c>
      <c r="H21" s="8">
        <v>5</v>
      </c>
      <c r="I21" s="8">
        <v>6</v>
      </c>
      <c r="J21" s="8">
        <v>3</v>
      </c>
      <c r="K21" s="8">
        <v>5</v>
      </c>
      <c r="L21" s="8">
        <v>7</v>
      </c>
    </row>
    <row r="22" spans="2:12" ht="15.75" customHeight="1">
      <c r="B22" s="32"/>
      <c r="C22" s="7" t="s">
        <v>16</v>
      </c>
      <c r="D22" s="8">
        <v>5</v>
      </c>
      <c r="E22" s="8">
        <v>6</v>
      </c>
      <c r="F22" s="8">
        <v>9</v>
      </c>
      <c r="G22" s="8">
        <v>3</v>
      </c>
      <c r="H22" s="8">
        <v>6</v>
      </c>
      <c r="I22" s="8">
        <v>7</v>
      </c>
      <c r="J22" s="8">
        <v>3</v>
      </c>
      <c r="K22" s="8">
        <v>5</v>
      </c>
      <c r="L22" s="8">
        <v>7</v>
      </c>
    </row>
    <row r="23" spans="2:12" ht="15.75" customHeight="1">
      <c r="B23" s="32"/>
      <c r="C23" s="7" t="s">
        <v>18</v>
      </c>
      <c r="D23" s="8">
        <v>3</v>
      </c>
      <c r="E23" s="8">
        <v>5</v>
      </c>
      <c r="F23" s="8">
        <v>7</v>
      </c>
      <c r="G23" s="8">
        <v>3</v>
      </c>
      <c r="H23" s="8">
        <v>5</v>
      </c>
      <c r="I23" s="8">
        <v>9</v>
      </c>
      <c r="J23" s="8">
        <v>5</v>
      </c>
      <c r="K23" s="8">
        <v>7</v>
      </c>
      <c r="L23" s="8">
        <v>9</v>
      </c>
    </row>
    <row r="24" spans="2:12" ht="15.75" customHeight="1">
      <c r="B24" s="39"/>
      <c r="C24" s="7" t="s">
        <v>20</v>
      </c>
      <c r="D24" s="8">
        <v>3</v>
      </c>
      <c r="E24" s="8">
        <v>5</v>
      </c>
      <c r="F24" s="8">
        <v>6</v>
      </c>
      <c r="G24" s="8">
        <v>1</v>
      </c>
      <c r="H24" s="8">
        <v>3</v>
      </c>
      <c r="I24" s="8">
        <v>5</v>
      </c>
      <c r="J24" s="8">
        <v>6</v>
      </c>
      <c r="K24" s="8">
        <v>7</v>
      </c>
      <c r="L24" s="8">
        <v>9</v>
      </c>
    </row>
    <row r="25" spans="2:12" ht="15.75" customHeight="1">
      <c r="B25" s="38" t="s">
        <v>21</v>
      </c>
      <c r="C25" s="7" t="s">
        <v>11</v>
      </c>
      <c r="D25" s="8">
        <v>4</v>
      </c>
      <c r="E25" s="8">
        <v>7</v>
      </c>
      <c r="F25" s="8">
        <v>9</v>
      </c>
      <c r="G25" s="8">
        <v>3</v>
      </c>
      <c r="H25" s="8">
        <v>5</v>
      </c>
      <c r="I25" s="8">
        <v>7</v>
      </c>
      <c r="J25" s="8">
        <v>5</v>
      </c>
      <c r="K25" s="8">
        <v>7</v>
      </c>
      <c r="L25" s="8">
        <v>9</v>
      </c>
    </row>
    <row r="26" spans="2:12" ht="15.75" customHeight="1">
      <c r="B26" s="32"/>
      <c r="C26" s="7" t="s">
        <v>16</v>
      </c>
      <c r="D26" s="8">
        <v>3</v>
      </c>
      <c r="E26" s="8">
        <v>5</v>
      </c>
      <c r="F26" s="8">
        <v>7</v>
      </c>
      <c r="G26" s="8">
        <v>3</v>
      </c>
      <c r="H26" s="8">
        <v>5</v>
      </c>
      <c r="I26" s="8">
        <v>7</v>
      </c>
      <c r="J26" s="8">
        <v>5</v>
      </c>
      <c r="K26" s="8">
        <v>7</v>
      </c>
      <c r="L26" s="8">
        <v>8</v>
      </c>
    </row>
    <row r="27" spans="2:12" ht="15.75" customHeight="1">
      <c r="B27" s="32"/>
      <c r="C27" s="7" t="s">
        <v>18</v>
      </c>
      <c r="D27" s="8">
        <v>3</v>
      </c>
      <c r="E27" s="8">
        <v>5</v>
      </c>
      <c r="F27" s="8">
        <v>7</v>
      </c>
      <c r="G27" s="8">
        <v>5</v>
      </c>
      <c r="H27" s="8">
        <v>7</v>
      </c>
      <c r="I27" s="8">
        <v>9</v>
      </c>
      <c r="J27" s="8">
        <v>6</v>
      </c>
      <c r="K27" s="8">
        <v>7</v>
      </c>
      <c r="L27" s="8">
        <v>9</v>
      </c>
    </row>
    <row r="28" spans="2:12" ht="15.75" customHeight="1">
      <c r="B28" s="39"/>
      <c r="C28" s="7" t="s">
        <v>20</v>
      </c>
      <c r="D28" s="8">
        <v>5</v>
      </c>
      <c r="E28" s="8">
        <v>7</v>
      </c>
      <c r="F28" s="8">
        <v>9</v>
      </c>
      <c r="G28" s="8">
        <v>5</v>
      </c>
      <c r="H28" s="8">
        <v>7</v>
      </c>
      <c r="I28" s="8">
        <v>8</v>
      </c>
      <c r="J28" s="8">
        <v>5</v>
      </c>
      <c r="K28" s="8">
        <v>7</v>
      </c>
      <c r="L28" s="8">
        <v>8</v>
      </c>
    </row>
    <row r="29" spans="2:12" ht="12.75"/>
    <row r="31" spans="2:12" ht="15.75" customHeight="1">
      <c r="B31" s="38" t="s">
        <v>9</v>
      </c>
      <c r="C31" s="38" t="s">
        <v>10</v>
      </c>
      <c r="D31" s="43" t="s">
        <v>23</v>
      </c>
      <c r="E31" s="44"/>
      <c r="F31" s="45"/>
      <c r="H31" s="59" t="s">
        <v>9</v>
      </c>
      <c r="I31" s="38" t="s">
        <v>10</v>
      </c>
      <c r="J31" s="43" t="s">
        <v>24</v>
      </c>
      <c r="K31" s="53"/>
      <c r="L31" s="54"/>
    </row>
    <row r="32" spans="2:12" ht="15.75" customHeight="1">
      <c r="B32" s="39"/>
      <c r="C32" s="39"/>
      <c r="D32" s="18" t="s">
        <v>12</v>
      </c>
      <c r="E32" s="18" t="s">
        <v>13</v>
      </c>
      <c r="F32" s="18" t="s">
        <v>14</v>
      </c>
      <c r="H32" s="34"/>
      <c r="I32" s="34"/>
      <c r="J32" s="18" t="s">
        <v>12</v>
      </c>
      <c r="K32" s="18" t="s">
        <v>13</v>
      </c>
      <c r="L32" s="18" t="s">
        <v>14</v>
      </c>
    </row>
    <row r="33" spans="2:17" ht="15.75" customHeight="1">
      <c r="B33" s="38" t="s">
        <v>15</v>
      </c>
      <c r="C33" s="7" t="s">
        <v>11</v>
      </c>
      <c r="D33" s="2">
        <f t="shared" ref="D33:D48" si="0">MIN(D13,G13,J13)</f>
        <v>2</v>
      </c>
      <c r="E33" s="2">
        <f t="shared" ref="E33:E48" si="1">AVERAGE(E13,H13,K13)</f>
        <v>4</v>
      </c>
      <c r="F33" s="2">
        <f t="shared" ref="F33:F48" si="2">MAX(F13,I13,L13)</f>
        <v>6</v>
      </c>
      <c r="H33" s="32" t="s">
        <v>15</v>
      </c>
      <c r="I33" s="7" t="s">
        <v>11</v>
      </c>
      <c r="J33" s="8">
        <f t="shared" ref="J33:L36" si="3">D52*O13</f>
        <v>1.6666666666666665</v>
      </c>
      <c r="K33" s="8">
        <f t="shared" si="3"/>
        <v>3.5</v>
      </c>
      <c r="L33" s="8">
        <f t="shared" si="3"/>
        <v>9</v>
      </c>
    </row>
    <row r="34" spans="2:17" ht="15.75" customHeight="1">
      <c r="B34" s="32"/>
      <c r="C34" s="7" t="s">
        <v>16</v>
      </c>
      <c r="D34" s="2">
        <f t="shared" si="0"/>
        <v>2</v>
      </c>
      <c r="E34" s="2">
        <f t="shared" si="1"/>
        <v>4.666666666666667</v>
      </c>
      <c r="F34" s="2">
        <f t="shared" si="2"/>
        <v>7</v>
      </c>
      <c r="H34" s="33"/>
      <c r="I34" s="7" t="s">
        <v>16</v>
      </c>
      <c r="J34" s="8">
        <f t="shared" si="3"/>
        <v>0.8571428571428571</v>
      </c>
      <c r="K34" s="8">
        <f t="shared" si="3"/>
        <v>2.1428571428571428</v>
      </c>
      <c r="L34" s="8">
        <f t="shared" si="3"/>
        <v>7</v>
      </c>
    </row>
    <row r="35" spans="2:17" ht="15.75" customHeight="1">
      <c r="B35" s="32"/>
      <c r="C35" s="7" t="s">
        <v>18</v>
      </c>
      <c r="D35" s="2">
        <f t="shared" si="0"/>
        <v>1</v>
      </c>
      <c r="E35" s="2">
        <f t="shared" si="1"/>
        <v>4</v>
      </c>
      <c r="F35" s="2">
        <f t="shared" si="2"/>
        <v>6</v>
      </c>
      <c r="H35" s="33"/>
      <c r="I35" s="7" t="s">
        <v>18</v>
      </c>
      <c r="J35" s="8">
        <f t="shared" si="3"/>
        <v>0.16666666666666666</v>
      </c>
      <c r="K35" s="8">
        <f t="shared" si="3"/>
        <v>0.75</v>
      </c>
      <c r="L35" s="8">
        <f t="shared" si="3"/>
        <v>5</v>
      </c>
    </row>
    <row r="36" spans="2:17" ht="15.75" customHeight="1">
      <c r="B36" s="39"/>
      <c r="C36" s="7" t="s">
        <v>20</v>
      </c>
      <c r="D36" s="2">
        <f t="shared" si="0"/>
        <v>1</v>
      </c>
      <c r="E36" s="2">
        <f t="shared" si="1"/>
        <v>5</v>
      </c>
      <c r="F36" s="2">
        <f t="shared" si="2"/>
        <v>7</v>
      </c>
      <c r="H36" s="34"/>
      <c r="I36" s="7" t="s">
        <v>20</v>
      </c>
      <c r="J36" s="8">
        <f t="shared" si="3"/>
        <v>0.42857142857142855</v>
      </c>
      <c r="K36" s="8">
        <f t="shared" si="3"/>
        <v>1</v>
      </c>
      <c r="L36" s="8">
        <f t="shared" si="3"/>
        <v>7</v>
      </c>
    </row>
    <row r="37" spans="2:17" ht="15.75" customHeight="1">
      <c r="B37" s="40" t="s">
        <v>17</v>
      </c>
      <c r="C37" s="7" t="s">
        <v>11</v>
      </c>
      <c r="D37" s="2">
        <f t="shared" si="0"/>
        <v>3</v>
      </c>
      <c r="E37" s="2">
        <f t="shared" si="1"/>
        <v>5</v>
      </c>
      <c r="F37" s="2">
        <f t="shared" si="2"/>
        <v>7</v>
      </c>
      <c r="H37" s="41" t="s">
        <v>17</v>
      </c>
      <c r="I37" s="7" t="s">
        <v>11</v>
      </c>
      <c r="J37" s="8">
        <f t="shared" ref="J37:L40" si="4">D56*O13</f>
        <v>1.4285714285714284</v>
      </c>
      <c r="K37" s="8">
        <f t="shared" si="4"/>
        <v>2.8000000000000003</v>
      </c>
      <c r="L37" s="8">
        <f t="shared" si="4"/>
        <v>6</v>
      </c>
    </row>
    <row r="38" spans="2:17" ht="15.75" customHeight="1">
      <c r="B38" s="41"/>
      <c r="C38" s="7" t="s">
        <v>16</v>
      </c>
      <c r="D38" s="2">
        <f t="shared" si="0"/>
        <v>5</v>
      </c>
      <c r="E38" s="2">
        <f t="shared" si="1"/>
        <v>7</v>
      </c>
      <c r="F38" s="2">
        <f t="shared" si="2"/>
        <v>9</v>
      </c>
      <c r="H38" s="33"/>
      <c r="I38" s="7" t="s">
        <v>16</v>
      </c>
      <c r="J38" s="8">
        <f t="shared" si="4"/>
        <v>0.66666666666666663</v>
      </c>
      <c r="K38" s="8">
        <f t="shared" si="4"/>
        <v>1.4285714285714284</v>
      </c>
      <c r="L38" s="8">
        <f t="shared" si="4"/>
        <v>2.8000000000000003</v>
      </c>
    </row>
    <row r="39" spans="2:17" ht="15.75" customHeight="1">
      <c r="B39" s="41"/>
      <c r="C39" s="7" t="s">
        <v>18</v>
      </c>
      <c r="D39" s="2">
        <f t="shared" si="0"/>
        <v>1</v>
      </c>
      <c r="E39" s="2">
        <f t="shared" si="1"/>
        <v>3.6666666666666665</v>
      </c>
      <c r="F39" s="2">
        <f t="shared" si="2"/>
        <v>7</v>
      </c>
      <c r="H39" s="33"/>
      <c r="I39" s="7" t="s">
        <v>18</v>
      </c>
      <c r="J39" s="8">
        <f t="shared" si="4"/>
        <v>0.14285714285714285</v>
      </c>
      <c r="K39" s="8">
        <f t="shared" si="4"/>
        <v>0.81818181818181834</v>
      </c>
      <c r="L39" s="8">
        <f t="shared" si="4"/>
        <v>5</v>
      </c>
    </row>
    <row r="40" spans="2:17" ht="15.75" customHeight="1">
      <c r="B40" s="42"/>
      <c r="C40" s="7" t="s">
        <v>20</v>
      </c>
      <c r="D40" s="2">
        <f t="shared" si="0"/>
        <v>3</v>
      </c>
      <c r="E40" s="2">
        <f t="shared" si="1"/>
        <v>5.333333333333333</v>
      </c>
      <c r="F40" s="2">
        <f t="shared" si="2"/>
        <v>9</v>
      </c>
      <c r="H40" s="34"/>
      <c r="I40" s="7" t="s">
        <v>20</v>
      </c>
      <c r="J40" s="8">
        <f t="shared" si="4"/>
        <v>0.33333333333333331</v>
      </c>
      <c r="K40" s="8">
        <f t="shared" si="4"/>
        <v>0.9375</v>
      </c>
      <c r="L40" s="8">
        <f t="shared" si="4"/>
        <v>2.333333333333333</v>
      </c>
    </row>
    <row r="41" spans="2:17" ht="15.75" customHeight="1">
      <c r="B41" s="38" t="s">
        <v>19</v>
      </c>
      <c r="C41" s="7" t="s">
        <v>11</v>
      </c>
      <c r="D41" s="2">
        <f t="shared" si="0"/>
        <v>3</v>
      </c>
      <c r="E41" s="2">
        <f t="shared" si="1"/>
        <v>5.666666666666667</v>
      </c>
      <c r="F41" s="2">
        <f t="shared" si="2"/>
        <v>9</v>
      </c>
      <c r="H41" s="32" t="s">
        <v>19</v>
      </c>
      <c r="I41" s="7" t="s">
        <v>11</v>
      </c>
      <c r="J41" s="8">
        <f t="shared" ref="J41:L44" si="5">D60*O13</f>
        <v>1.1111111111111112</v>
      </c>
      <c r="K41" s="8">
        <f t="shared" si="5"/>
        <v>2.4705882352941173</v>
      </c>
      <c r="L41" s="8">
        <f t="shared" si="5"/>
        <v>6</v>
      </c>
    </row>
    <row r="42" spans="2:17" ht="15.75" customHeight="1">
      <c r="B42" s="32"/>
      <c r="C42" s="7" t="s">
        <v>16</v>
      </c>
      <c r="D42" s="2">
        <f t="shared" si="0"/>
        <v>3</v>
      </c>
      <c r="E42" s="2">
        <f t="shared" si="1"/>
        <v>5.666666666666667</v>
      </c>
      <c r="F42" s="2">
        <f t="shared" si="2"/>
        <v>9</v>
      </c>
      <c r="H42" s="33"/>
      <c r="I42" s="7" t="s">
        <v>16</v>
      </c>
      <c r="J42" s="8">
        <f t="shared" si="5"/>
        <v>0.66666666666666663</v>
      </c>
      <c r="K42" s="8">
        <f t="shared" si="5"/>
        <v>1.7647058823529411</v>
      </c>
      <c r="L42" s="8">
        <f t="shared" si="5"/>
        <v>4.6666666666666661</v>
      </c>
    </row>
    <row r="43" spans="2:17" ht="15.75" customHeight="1">
      <c r="B43" s="32"/>
      <c r="C43" s="7" t="s">
        <v>18</v>
      </c>
      <c r="D43" s="2">
        <f t="shared" si="0"/>
        <v>3</v>
      </c>
      <c r="E43" s="2">
        <f t="shared" si="1"/>
        <v>5.666666666666667</v>
      </c>
      <c r="F43" s="2">
        <f t="shared" si="2"/>
        <v>9</v>
      </c>
      <c r="H43" s="33"/>
      <c r="I43" s="7" t="s">
        <v>18</v>
      </c>
      <c r="J43" s="8">
        <f t="shared" si="5"/>
        <v>0.1111111111111111</v>
      </c>
      <c r="K43" s="8">
        <f t="shared" si="5"/>
        <v>0.52941176470588225</v>
      </c>
      <c r="L43" s="8">
        <f t="shared" si="5"/>
        <v>1.6666666666666665</v>
      </c>
    </row>
    <row r="44" spans="2:17" ht="15.75" customHeight="1">
      <c r="B44" s="39"/>
      <c r="C44" s="7" t="s">
        <v>20</v>
      </c>
      <c r="D44" s="2">
        <f t="shared" si="0"/>
        <v>1</v>
      </c>
      <c r="E44" s="2">
        <f t="shared" si="1"/>
        <v>5</v>
      </c>
      <c r="F44" s="2">
        <f t="shared" si="2"/>
        <v>9</v>
      </c>
      <c r="H44" s="34"/>
      <c r="I44" s="7" t="s">
        <v>20</v>
      </c>
      <c r="J44" s="8">
        <f t="shared" si="5"/>
        <v>0.33333333333333331</v>
      </c>
      <c r="K44" s="8">
        <f t="shared" si="5"/>
        <v>1</v>
      </c>
      <c r="L44" s="8">
        <f t="shared" si="5"/>
        <v>7</v>
      </c>
    </row>
    <row r="45" spans="2:17" ht="15.75" customHeight="1">
      <c r="B45" s="38" t="s">
        <v>21</v>
      </c>
      <c r="C45" s="7" t="s">
        <v>11</v>
      </c>
      <c r="D45" s="2">
        <f t="shared" si="0"/>
        <v>3</v>
      </c>
      <c r="E45" s="2">
        <f t="shared" si="1"/>
        <v>6.333333333333333</v>
      </c>
      <c r="F45" s="2">
        <f t="shared" si="2"/>
        <v>9</v>
      </c>
      <c r="H45" s="32" t="s">
        <v>21</v>
      </c>
      <c r="I45" s="7" t="s">
        <v>11</v>
      </c>
      <c r="J45" s="8">
        <f t="shared" ref="J45:L48" si="6">D64*O13</f>
        <v>1.1111111111111112</v>
      </c>
      <c r="K45" s="8">
        <f t="shared" si="6"/>
        <v>2.2105263157894739</v>
      </c>
      <c r="L45" s="8">
        <f t="shared" si="6"/>
        <v>6</v>
      </c>
    </row>
    <row r="46" spans="2:17" ht="15.75" customHeight="1">
      <c r="B46" s="32"/>
      <c r="C46" s="7" t="s">
        <v>16</v>
      </c>
      <c r="D46" s="2">
        <f t="shared" si="0"/>
        <v>3</v>
      </c>
      <c r="E46" s="2">
        <f t="shared" si="1"/>
        <v>5.666666666666667</v>
      </c>
      <c r="F46" s="2">
        <f t="shared" si="2"/>
        <v>8</v>
      </c>
      <c r="H46" s="33"/>
      <c r="I46" s="7" t="s">
        <v>16</v>
      </c>
      <c r="J46" s="8">
        <f t="shared" si="6"/>
        <v>0.75</v>
      </c>
      <c r="K46" s="8">
        <f t="shared" si="6"/>
        <v>1.7647058823529411</v>
      </c>
      <c r="L46" s="8">
        <f t="shared" si="6"/>
        <v>4.6666666666666661</v>
      </c>
    </row>
    <row r="47" spans="2:17" ht="15.75" customHeight="1">
      <c r="B47" s="32"/>
      <c r="C47" s="7" t="s">
        <v>18</v>
      </c>
      <c r="D47" s="2">
        <f t="shared" si="0"/>
        <v>3</v>
      </c>
      <c r="E47" s="2">
        <f t="shared" si="1"/>
        <v>6.333333333333333</v>
      </c>
      <c r="F47" s="2">
        <f t="shared" si="2"/>
        <v>9</v>
      </c>
      <c r="H47" s="33"/>
      <c r="I47" s="7" t="s">
        <v>18</v>
      </c>
      <c r="J47" s="8">
        <f t="shared" si="6"/>
        <v>0.1111111111111111</v>
      </c>
      <c r="K47" s="8">
        <f t="shared" si="6"/>
        <v>0.47368421052631582</v>
      </c>
      <c r="L47" s="8">
        <f t="shared" si="6"/>
        <v>1.6666666666666665</v>
      </c>
    </row>
    <row r="48" spans="2:17" ht="15.75" customHeight="1">
      <c r="B48" s="39"/>
      <c r="C48" s="7" t="s">
        <v>20</v>
      </c>
      <c r="D48" s="2">
        <f t="shared" si="0"/>
        <v>5</v>
      </c>
      <c r="E48" s="2">
        <f t="shared" si="1"/>
        <v>7</v>
      </c>
      <c r="F48" s="2">
        <f t="shared" si="2"/>
        <v>9</v>
      </c>
      <c r="H48" s="34"/>
      <c r="I48" s="7" t="s">
        <v>20</v>
      </c>
      <c r="J48" s="8">
        <f t="shared" si="6"/>
        <v>0.33333333333333331</v>
      </c>
      <c r="K48" s="8">
        <f t="shared" si="6"/>
        <v>0.71428571428571419</v>
      </c>
      <c r="L48" s="8">
        <f t="shared" si="6"/>
        <v>1.4000000000000001</v>
      </c>
      <c r="M48" s="1"/>
      <c r="N48" s="1"/>
      <c r="O48" s="1"/>
      <c r="P48" s="1"/>
      <c r="Q48" s="1"/>
    </row>
    <row r="49" spans="2:17" ht="12.75">
      <c r="B49" s="1"/>
      <c r="C49" s="1"/>
      <c r="D49" s="1"/>
      <c r="E49" s="1"/>
      <c r="F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2:17" ht="15.75" customHeight="1">
      <c r="B50" s="38" t="s">
        <v>9</v>
      </c>
      <c r="C50" s="38" t="s">
        <v>10</v>
      </c>
      <c r="D50" s="43" t="s">
        <v>25</v>
      </c>
      <c r="E50" s="44"/>
      <c r="F50" s="45"/>
      <c r="H50" s="57" t="s">
        <v>9</v>
      </c>
      <c r="I50" s="43" t="s">
        <v>26</v>
      </c>
      <c r="J50" s="44"/>
      <c r="K50" s="45"/>
      <c r="L50" s="29" t="s">
        <v>9</v>
      </c>
      <c r="M50" s="43" t="s">
        <v>27</v>
      </c>
      <c r="N50" s="44"/>
      <c r="O50" s="45"/>
    </row>
    <row r="51" spans="2:17" ht="15.75" customHeight="1">
      <c r="B51" s="39"/>
      <c r="C51" s="39"/>
      <c r="D51" s="18" t="s">
        <v>12</v>
      </c>
      <c r="E51" s="18" t="s">
        <v>13</v>
      </c>
      <c r="F51" s="18" t="s">
        <v>14</v>
      </c>
      <c r="H51" s="58"/>
      <c r="I51" s="18" t="s">
        <v>12</v>
      </c>
      <c r="J51" s="18" t="s">
        <v>13</v>
      </c>
      <c r="K51" s="18" t="s">
        <v>14</v>
      </c>
      <c r="L51" s="31"/>
      <c r="M51" s="18" t="s">
        <v>12</v>
      </c>
      <c r="N51" s="18" t="s">
        <v>13</v>
      </c>
      <c r="O51" s="18" t="s">
        <v>14</v>
      </c>
    </row>
    <row r="52" spans="2:17" ht="15.75" customHeight="1">
      <c r="B52" s="38" t="s">
        <v>15</v>
      </c>
      <c r="C52" s="7" t="s">
        <v>11</v>
      </c>
      <c r="D52" s="12">
        <f>MIN($D$33,$D$37,$D$41,$D$45)/F33</f>
        <v>0.33333333333333331</v>
      </c>
      <c r="E52" s="12">
        <f>MIN($D$33,$D$37,$D$41,$D$45)/E33</f>
        <v>0.5</v>
      </c>
      <c r="F52" s="12">
        <f>MIN($D$33,$D$37,$D$41,$D$45)/D33</f>
        <v>1</v>
      </c>
      <c r="H52" s="38" t="s">
        <v>15</v>
      </c>
      <c r="I52" s="26">
        <f>MAX(J33,J37,J41,J45)</f>
        <v>1.6666666666666665</v>
      </c>
      <c r="J52" s="26">
        <f>MAX(K33,K37,K41,K45)</f>
        <v>3.5</v>
      </c>
      <c r="K52" s="26">
        <f>MAX(L33,L37,L41,L45)</f>
        <v>9</v>
      </c>
      <c r="L52" s="29" t="s">
        <v>15</v>
      </c>
      <c r="M52" s="26">
        <f>MIN(J33,J37,J41,J45)</f>
        <v>1.1111111111111112</v>
      </c>
      <c r="N52" s="26">
        <f>MIN(K33,K37,K41,K45)</f>
        <v>2.2105263157894739</v>
      </c>
      <c r="O52" s="26">
        <f>MIN(L33,L37,L41,L45)</f>
        <v>6</v>
      </c>
    </row>
    <row r="53" spans="2:17" ht="15.75" customHeight="1">
      <c r="B53" s="32"/>
      <c r="C53" s="7" t="s">
        <v>16</v>
      </c>
      <c r="D53" s="12">
        <f>MIN($D$34,$D$38,$D$42,$D$46)/F34</f>
        <v>0.2857142857142857</v>
      </c>
      <c r="E53" s="12">
        <f>MIN($D$34,$D$38,$D$42,$D$46)/E34</f>
        <v>0.42857142857142855</v>
      </c>
      <c r="F53" s="12">
        <f>MIN($D$34,$D$38,$D$42,$D$46)/D34</f>
        <v>1</v>
      </c>
      <c r="H53" s="32"/>
      <c r="I53" s="27"/>
      <c r="J53" s="27"/>
      <c r="K53" s="27"/>
      <c r="L53" s="30"/>
      <c r="M53" s="27"/>
      <c r="N53" s="27"/>
      <c r="O53" s="27"/>
    </row>
    <row r="54" spans="2:17" ht="15.75" customHeight="1">
      <c r="B54" s="32"/>
      <c r="C54" s="7" t="s">
        <v>18</v>
      </c>
      <c r="D54" s="12">
        <f>MIN($D$35,$D$39,$D$43,$D$47)/F35</f>
        <v>0.16666666666666666</v>
      </c>
      <c r="E54" s="12">
        <f>MIN($D$35,$D$39,$D$43,$D$47)/E35</f>
        <v>0.25</v>
      </c>
      <c r="F54" s="12">
        <f>MIN($D$35,$D$39,$D$43,$D$47)/D35</f>
        <v>1</v>
      </c>
      <c r="H54" s="32"/>
      <c r="I54" s="27"/>
      <c r="J54" s="27"/>
      <c r="K54" s="27"/>
      <c r="L54" s="30"/>
      <c r="M54" s="27"/>
      <c r="N54" s="27"/>
      <c r="O54" s="27"/>
    </row>
    <row r="55" spans="2:17" ht="15.75" customHeight="1">
      <c r="B55" s="39"/>
      <c r="C55" s="7" t="s">
        <v>20</v>
      </c>
      <c r="D55" s="12">
        <f>MIN($D$36,$D$40,$D$44,$D$48)/F36</f>
        <v>0.14285714285714285</v>
      </c>
      <c r="E55" s="12">
        <f>MIN($D$36,$D$40,$D$44,$D$48)/E36</f>
        <v>0.2</v>
      </c>
      <c r="F55" s="12">
        <f>MIN($D$36,$D$40,$D$44,$D$48)/D36</f>
        <v>1</v>
      </c>
      <c r="H55" s="39"/>
      <c r="I55" s="28"/>
      <c r="J55" s="28"/>
      <c r="K55" s="28"/>
      <c r="L55" s="31"/>
      <c r="M55" s="28"/>
      <c r="N55" s="28"/>
      <c r="O55" s="28"/>
    </row>
    <row r="56" spans="2:17" ht="15.75" customHeight="1">
      <c r="B56" s="40" t="s">
        <v>17</v>
      </c>
      <c r="C56" s="7" t="s">
        <v>11</v>
      </c>
      <c r="D56" s="12">
        <f>MIN($D$33,$D$37,$D$41,$D$45)/F37</f>
        <v>0.2857142857142857</v>
      </c>
      <c r="E56" s="12">
        <f>MIN($D$33,$D$37,$D$41,$D$45)/E37</f>
        <v>0.4</v>
      </c>
      <c r="F56" s="12">
        <f>MIN($D$33,$D$37,$D$41,$D$45)/D37</f>
        <v>0.66666666666666663</v>
      </c>
      <c r="H56" s="40" t="s">
        <v>17</v>
      </c>
      <c r="I56" s="26">
        <f>MAX(J34,J38,J42,J46)</f>
        <v>0.8571428571428571</v>
      </c>
      <c r="J56" s="26">
        <f>MAX(K34,K38,K42,K46)</f>
        <v>2.1428571428571428</v>
      </c>
      <c r="K56" s="26">
        <f>MAX(L34,L38,L42,L46)</f>
        <v>7</v>
      </c>
      <c r="L56" s="60" t="s">
        <v>17</v>
      </c>
      <c r="M56" s="26">
        <f>MIN(J34,J38,J42,J46)</f>
        <v>0.66666666666666663</v>
      </c>
      <c r="N56" s="26">
        <f>MIN(K34,K38,K42,K46)</f>
        <v>1.4285714285714284</v>
      </c>
      <c r="O56" s="26">
        <f>MIN(L34,L38,L42,L46)</f>
        <v>2.8000000000000003</v>
      </c>
    </row>
    <row r="57" spans="2:17" ht="15.75" customHeight="1">
      <c r="B57" s="41"/>
      <c r="C57" s="7" t="s">
        <v>16</v>
      </c>
      <c r="D57" s="12">
        <f>MIN($D$34,$D$38,$D$42,$D$46)/F38</f>
        <v>0.22222222222222221</v>
      </c>
      <c r="E57" s="12">
        <f>MIN($D$34,$D$38,$D$42,$D$46)/E38</f>
        <v>0.2857142857142857</v>
      </c>
      <c r="F57" s="12">
        <f>MIN($D$34,$D$38,$D$42,$D$46)/D38</f>
        <v>0.4</v>
      </c>
      <c r="H57" s="41"/>
      <c r="I57" s="27"/>
      <c r="J57" s="27"/>
      <c r="K57" s="27"/>
      <c r="L57" s="61"/>
      <c r="M57" s="27"/>
      <c r="N57" s="27"/>
      <c r="O57" s="27"/>
    </row>
    <row r="58" spans="2:17" ht="15.75" customHeight="1">
      <c r="B58" s="41"/>
      <c r="C58" s="7" t="s">
        <v>18</v>
      </c>
      <c r="D58" s="12">
        <f>MIN($D$35,$D$39,$D$43,$D$47)/F39</f>
        <v>0.14285714285714285</v>
      </c>
      <c r="E58" s="12">
        <f>MIN($D$35,$D$39,$D$43,$D$47)/E39</f>
        <v>0.27272727272727276</v>
      </c>
      <c r="F58" s="12">
        <f>MIN($D$35,$D$39,$D$43,$D$47)/D39</f>
        <v>1</v>
      </c>
      <c r="H58" s="41"/>
      <c r="I58" s="27"/>
      <c r="J58" s="27"/>
      <c r="K58" s="27"/>
      <c r="L58" s="61"/>
      <c r="M58" s="27"/>
      <c r="N58" s="27"/>
      <c r="O58" s="27"/>
    </row>
    <row r="59" spans="2:17" ht="15.75" customHeight="1">
      <c r="B59" s="42"/>
      <c r="C59" s="7" t="s">
        <v>20</v>
      </c>
      <c r="D59" s="12">
        <f>MIN($D$36,$D$40,$D$44,$D$48)/F40</f>
        <v>0.1111111111111111</v>
      </c>
      <c r="E59" s="12">
        <f>MIN($D$36,$D$40,$D$44,$D$48)/E40</f>
        <v>0.1875</v>
      </c>
      <c r="F59" s="12">
        <f>MIN($D$36,$D$40,$D$44,$D$48)/D40</f>
        <v>0.33333333333333331</v>
      </c>
      <c r="H59" s="42"/>
      <c r="I59" s="28"/>
      <c r="J59" s="28"/>
      <c r="K59" s="28"/>
      <c r="L59" s="62"/>
      <c r="M59" s="28"/>
      <c r="N59" s="28"/>
      <c r="O59" s="28"/>
    </row>
    <row r="60" spans="2:17" ht="15.75" customHeight="1">
      <c r="B60" s="38" t="s">
        <v>19</v>
      </c>
      <c r="C60" s="7" t="s">
        <v>11</v>
      </c>
      <c r="D60" s="12">
        <f>MIN($D$33,$D$37,$D$41,$D$45)/F41</f>
        <v>0.22222222222222221</v>
      </c>
      <c r="E60" s="12">
        <f>MIN($D$33,$D$37,$D$41,$D$45)/E41</f>
        <v>0.3529411764705882</v>
      </c>
      <c r="F60" s="12">
        <f>MIN($D$33,$D$37,$D$41,$D$45)/D41</f>
        <v>0.66666666666666663</v>
      </c>
      <c r="H60" s="38" t="s">
        <v>19</v>
      </c>
      <c r="I60" s="26">
        <f>MAX(J35,J39,J43,J47)</f>
        <v>0.16666666666666666</v>
      </c>
      <c r="J60" s="26">
        <f>MAX(K35,K39,K43,K47)</f>
        <v>0.81818181818181834</v>
      </c>
      <c r="K60" s="26">
        <f>MAX(L35,L39,L43,L47)</f>
        <v>5</v>
      </c>
      <c r="L60" s="29" t="s">
        <v>19</v>
      </c>
      <c r="M60" s="26">
        <f>MIN(J35,J39,J43,J47)</f>
        <v>0.1111111111111111</v>
      </c>
      <c r="N60" s="26">
        <f>MIN(K35,K39,K43,K47)</f>
        <v>0.47368421052631582</v>
      </c>
      <c r="O60" s="26">
        <f>MIN(L35,L39,L43,L47)</f>
        <v>1.6666666666666665</v>
      </c>
    </row>
    <row r="61" spans="2:17" ht="15.75" customHeight="1">
      <c r="B61" s="32"/>
      <c r="C61" s="7" t="s">
        <v>16</v>
      </c>
      <c r="D61" s="12">
        <f>MIN($D$34,$D$38,$D$42,$D$46)/F42</f>
        <v>0.22222222222222221</v>
      </c>
      <c r="E61" s="12">
        <f>MIN($D$34,$D$38,$D$42,$D$46)/E42</f>
        <v>0.3529411764705882</v>
      </c>
      <c r="F61" s="12">
        <f>MIN($D$34,$D$38,$D$42,$D$46)/D42</f>
        <v>0.66666666666666663</v>
      </c>
      <c r="H61" s="32"/>
      <c r="I61" s="27"/>
      <c r="J61" s="27"/>
      <c r="K61" s="27"/>
      <c r="L61" s="30"/>
      <c r="M61" s="27"/>
      <c r="N61" s="27"/>
      <c r="O61" s="27"/>
    </row>
    <row r="62" spans="2:17" ht="15.75" customHeight="1">
      <c r="B62" s="32"/>
      <c r="C62" s="7" t="s">
        <v>18</v>
      </c>
      <c r="D62" s="12">
        <f>MIN($D$35,$D$39,$D$43,$D$47)/F43</f>
        <v>0.1111111111111111</v>
      </c>
      <c r="E62" s="12">
        <f>MIN($D$35,$D$39,$D$43,$D$47)/E43</f>
        <v>0.1764705882352941</v>
      </c>
      <c r="F62" s="12">
        <f>MIN($D$35,$D$39,$D$43,$D$47)/D43</f>
        <v>0.33333333333333331</v>
      </c>
      <c r="H62" s="32"/>
      <c r="I62" s="27"/>
      <c r="J62" s="27"/>
      <c r="K62" s="27"/>
      <c r="L62" s="30"/>
      <c r="M62" s="27"/>
      <c r="N62" s="27"/>
      <c r="O62" s="27"/>
    </row>
    <row r="63" spans="2:17" ht="12.75">
      <c r="B63" s="39"/>
      <c r="C63" s="7" t="s">
        <v>20</v>
      </c>
      <c r="D63" s="12">
        <f>MIN($D$36,$D$40,$D$44,$D$48)/F44</f>
        <v>0.1111111111111111</v>
      </c>
      <c r="E63" s="12">
        <f>MIN($D$36,$D$40,$D$44,$D$48)/E44</f>
        <v>0.2</v>
      </c>
      <c r="F63" s="12">
        <f>MIN($D$36,$D$40,$D$44,$D$48)/D44</f>
        <v>1</v>
      </c>
      <c r="H63" s="39"/>
      <c r="I63" s="28"/>
      <c r="J63" s="28"/>
      <c r="K63" s="28"/>
      <c r="L63" s="31"/>
      <c r="M63" s="28"/>
      <c r="N63" s="28"/>
      <c r="O63" s="28"/>
    </row>
    <row r="64" spans="2:17" ht="12.75">
      <c r="B64" s="38" t="s">
        <v>21</v>
      </c>
      <c r="C64" s="7" t="s">
        <v>11</v>
      </c>
      <c r="D64" s="12">
        <f>MIN($D$33,$D$37,$D$41,$D$45)/F45</f>
        <v>0.22222222222222221</v>
      </c>
      <c r="E64" s="12">
        <f>MIN($D$33,$D$37,$D$41,$D$45)/E45</f>
        <v>0.31578947368421056</v>
      </c>
      <c r="F64" s="12">
        <f>MIN($D$33,$D$37,$D$41,$D$45)/D45</f>
        <v>0.66666666666666663</v>
      </c>
      <c r="H64" s="38" t="s">
        <v>21</v>
      </c>
      <c r="I64" s="26">
        <f>MAX(J36,J40,J44,J48)</f>
        <v>0.42857142857142855</v>
      </c>
      <c r="J64" s="26">
        <f>MAX(K36,K40,K44,K48)</f>
        <v>1</v>
      </c>
      <c r="K64" s="26">
        <f>MAX(L36,L40,L44,L48)</f>
        <v>7</v>
      </c>
      <c r="L64" s="29" t="s">
        <v>21</v>
      </c>
      <c r="M64" s="26">
        <f>MIN(J36,J40,J44,J48)</f>
        <v>0.33333333333333331</v>
      </c>
      <c r="N64" s="26">
        <f>MIN(K36,K40,K44,K48)</f>
        <v>0.71428571428571419</v>
      </c>
      <c r="O64" s="26">
        <f>MIN(L36,L40,L44,L48)</f>
        <v>1.4000000000000001</v>
      </c>
    </row>
    <row r="65" spans="1:17" ht="12.75">
      <c r="B65" s="32"/>
      <c r="C65" s="7" t="s">
        <v>16</v>
      </c>
      <c r="D65" s="12">
        <f>MIN($D$34,$D$38,$D$42,$D$46)/F46</f>
        <v>0.25</v>
      </c>
      <c r="E65" s="12">
        <f>MIN($D$34,$D$38,$D$42,$D$46)/E46</f>
        <v>0.3529411764705882</v>
      </c>
      <c r="F65" s="12">
        <f>MIN($D$34,$D$38,$D$42,$D$46)/D46</f>
        <v>0.66666666666666663</v>
      </c>
      <c r="H65" s="32"/>
      <c r="I65" s="27"/>
      <c r="J65" s="27"/>
      <c r="K65" s="27"/>
      <c r="L65" s="30"/>
      <c r="M65" s="27"/>
      <c r="N65" s="27"/>
      <c r="O65" s="27"/>
    </row>
    <row r="66" spans="1:17" ht="12.75">
      <c r="B66" s="32"/>
      <c r="C66" s="7" t="s">
        <v>18</v>
      </c>
      <c r="D66" s="12">
        <f>MIN($D$35,$D$39,$D$43,$D$47)/F47</f>
        <v>0.1111111111111111</v>
      </c>
      <c r="E66" s="12">
        <f>MIN($D$35,$D$39,$D$43,$D$47)/E47</f>
        <v>0.15789473684210528</v>
      </c>
      <c r="F66" s="12">
        <f>MIN($D$35,$D$39,$D$43,$D$47)/D47</f>
        <v>0.33333333333333331</v>
      </c>
      <c r="H66" s="32"/>
      <c r="I66" s="27"/>
      <c r="J66" s="27"/>
      <c r="K66" s="27"/>
      <c r="L66" s="30"/>
      <c r="M66" s="27"/>
      <c r="N66" s="27"/>
      <c r="O66" s="27"/>
    </row>
    <row r="67" spans="1:17" ht="12.75">
      <c r="B67" s="39"/>
      <c r="C67" s="7" t="s">
        <v>20</v>
      </c>
      <c r="D67" s="12">
        <f>MIN($D$36,$D$40,$D$44,$D$48)/F48</f>
        <v>0.1111111111111111</v>
      </c>
      <c r="E67" s="12">
        <f>MIN($D$36,$D$40,$D$44,$D$48)/E48</f>
        <v>0.14285714285714285</v>
      </c>
      <c r="F67" s="12">
        <f>MIN($D$36,$D$40,$D$44,$D$48)/D48</f>
        <v>0.2</v>
      </c>
      <c r="H67" s="39"/>
      <c r="I67" s="28"/>
      <c r="J67" s="28"/>
      <c r="K67" s="28"/>
      <c r="L67" s="31"/>
      <c r="M67" s="28"/>
      <c r="N67" s="28"/>
      <c r="O67" s="28"/>
    </row>
    <row r="68" spans="1:17" ht="12.75"/>
    <row r="69" spans="1:17" ht="12.75"/>
    <row r="70" spans="1:17" ht="25.5">
      <c r="A70" s="14"/>
      <c r="B70" s="21" t="s">
        <v>30</v>
      </c>
      <c r="C70" s="21" t="s">
        <v>31</v>
      </c>
      <c r="D70" s="22" t="s">
        <v>32</v>
      </c>
      <c r="E70" s="21" t="s">
        <v>33</v>
      </c>
      <c r="G70" s="59" t="s">
        <v>9</v>
      </c>
      <c r="H70" s="38" t="s">
        <v>10</v>
      </c>
      <c r="I70" s="46" t="s">
        <v>28</v>
      </c>
      <c r="J70" s="47"/>
      <c r="K70" s="48"/>
      <c r="M70" s="59" t="s">
        <v>9</v>
      </c>
      <c r="N70" s="38" t="s">
        <v>10</v>
      </c>
      <c r="O70" s="46" t="s">
        <v>29</v>
      </c>
      <c r="P70" s="47"/>
      <c r="Q70" s="48"/>
    </row>
    <row r="71" spans="1:17" ht="12.75">
      <c r="A71" s="19" t="s">
        <v>15</v>
      </c>
      <c r="B71" s="14">
        <f>SUM(I72:K75)</f>
        <v>3.9364791081110941E-2</v>
      </c>
      <c r="C71" s="15">
        <f>SUM(O72:Q75)</f>
        <v>9.5437095502696678</v>
      </c>
      <c r="D71" s="14">
        <f t="shared" ref="D71:D74" si="7">C71/(B71+C71)</f>
        <v>0.99589225861357955</v>
      </c>
      <c r="E71" s="14">
        <f>RANK(D71,$D$71:$D$74)</f>
        <v>1</v>
      </c>
      <c r="G71" s="34"/>
      <c r="H71" s="34"/>
      <c r="I71" s="49"/>
      <c r="J71" s="50"/>
      <c r="K71" s="51"/>
      <c r="M71" s="34"/>
      <c r="N71" s="34"/>
      <c r="O71" s="49"/>
      <c r="P71" s="50"/>
      <c r="Q71" s="51"/>
    </row>
    <row r="72" spans="1:17" ht="12.75">
      <c r="A72" s="19" t="s">
        <v>17</v>
      </c>
      <c r="B72" s="14">
        <f>SUM(I76:K79)</f>
        <v>6.9548765891877302</v>
      </c>
      <c r="C72" s="15">
        <f>SUM(O76:Q79)</f>
        <v>2.8754437072904264</v>
      </c>
      <c r="D72" s="14">
        <f t="shared" si="7"/>
        <v>0.29250763154895293</v>
      </c>
      <c r="E72" s="14">
        <f>RANK(D72,$D$71:$D$74)</f>
        <v>3</v>
      </c>
      <c r="G72" s="32" t="s">
        <v>15</v>
      </c>
      <c r="H72" s="7" t="s">
        <v>11</v>
      </c>
      <c r="I72" s="35">
        <f>SQRT((1/3)*((J33-$I$52)*(J33-$I$52)+(K33-$J$52)*(K33-$J$52)+(L33-$K$52)*(L33-$K$52)))</f>
        <v>0</v>
      </c>
      <c r="J72" s="36"/>
      <c r="K72" s="37"/>
      <c r="M72" s="32" t="s">
        <v>15</v>
      </c>
      <c r="N72" s="7" t="s">
        <v>11</v>
      </c>
      <c r="O72" s="52">
        <f>SQRT((1/3)*((J33-$M$52)*(J33-$M$52)+(K33-$N$52)*(K33-$N$52)+(L33-$O$52)*(L33-$O$52)))</f>
        <v>1.9123619216020198</v>
      </c>
      <c r="P72" s="36"/>
      <c r="Q72" s="37"/>
    </row>
    <row r="73" spans="1:17" ht="12.75">
      <c r="A73" s="20" t="s">
        <v>19</v>
      </c>
      <c r="B73" s="16">
        <f>SUM(I80:K83)</f>
        <v>5.2151737557532138</v>
      </c>
      <c r="C73" s="17">
        <f>SUM(O80:Q83)</f>
        <v>4.5147421587634025</v>
      </c>
      <c r="D73" s="16">
        <f t="shared" si="7"/>
        <v>0.46400628725142434</v>
      </c>
      <c r="E73" s="16">
        <f>RANK(D73,$D$71:$D$74)</f>
        <v>2</v>
      </c>
      <c r="G73" s="33"/>
      <c r="H73" s="7" t="s">
        <v>16</v>
      </c>
      <c r="I73" s="35">
        <f>SQRT((1/3)*((J34-$I$56)*(J34-$I$56)+(K34-$J$56)*(K34-$J$56)+(L34-$K$56)*(L34-$K$56)))</f>
        <v>0</v>
      </c>
      <c r="J73" s="36"/>
      <c r="K73" s="37"/>
      <c r="M73" s="33"/>
      <c r="N73" s="7" t="s">
        <v>16</v>
      </c>
      <c r="O73" s="35">
        <f>SQRT((1/3)*((J34-$M$56)*(J34-$M$56)+(K34-$N$56)*(K34-$N$56)+(L34-$O$56)*(L34-$O$56)))</f>
        <v>2.4621457620519389</v>
      </c>
      <c r="P73" s="36"/>
      <c r="Q73" s="37"/>
    </row>
    <row r="74" spans="1:17" ht="12.75">
      <c r="A74" s="19" t="s">
        <v>21</v>
      </c>
      <c r="B74" s="14">
        <f>SUM(I84:K87)</f>
        <v>8.4513416787743552</v>
      </c>
      <c r="C74" s="15">
        <f>SUM(O84:Q87)</f>
        <v>1.096110587472493</v>
      </c>
      <c r="D74" s="14">
        <f t="shared" si="7"/>
        <v>0.11480660566877907</v>
      </c>
      <c r="E74" s="14">
        <f>RANK(D74,$D$71:$D$74)</f>
        <v>4</v>
      </c>
      <c r="G74" s="33"/>
      <c r="H74" s="7" t="s">
        <v>18</v>
      </c>
      <c r="I74" s="35">
        <f>SQRT((1/3)*((J35-$I$60)*(J35-$I$60)+(K35-$J$60)*(K35-$J$60)+(L35-$K$60)*(L35-$K$60)))</f>
        <v>3.9364791081110941E-2</v>
      </c>
      <c r="J74" s="36"/>
      <c r="K74" s="37"/>
      <c r="M74" s="33"/>
      <c r="N74" s="7" t="s">
        <v>18</v>
      </c>
      <c r="O74" s="52">
        <f>SQRT((1/3)*((J35-$M$60)*(J35-$M$60)+(K35-$N$60)*(K35-$N$60)+(L35-$O$60)*(L35-$O$60)))</f>
        <v>1.9313680769838311</v>
      </c>
      <c r="P74" s="36"/>
      <c r="Q74" s="37"/>
    </row>
    <row r="75" spans="1:17" ht="12.75">
      <c r="G75" s="34"/>
      <c r="H75" s="7" t="s">
        <v>20</v>
      </c>
      <c r="I75" s="35">
        <f>SQRT((1/3)*((J36-$I$64)*(J36-$I$64)+(K36-$J$64)*(K36-$J$64)+(L36-$K$64)*(L36-$K$64)))</f>
        <v>0</v>
      </c>
      <c r="J75" s="36"/>
      <c r="K75" s="37"/>
      <c r="M75" s="34"/>
      <c r="N75" s="7" t="s">
        <v>20</v>
      </c>
      <c r="O75" s="52">
        <f>SQRT((1/3)*((J36-$M$64)*(J36-$M$64)+(K36-$N$64)*(K36-$N$64)+(L36-$O$64)*(L36-$O$64)))</f>
        <v>3.2378337896318787</v>
      </c>
      <c r="P75" s="36"/>
      <c r="Q75" s="37"/>
    </row>
    <row r="76" spans="1:17" ht="12.75">
      <c r="G76" s="41" t="s">
        <v>17</v>
      </c>
      <c r="H76" s="7" t="s">
        <v>11</v>
      </c>
      <c r="I76" s="35">
        <f>SQRT((1/3)*((J37-$I$52)*(J37-$I$52)+(K37-$J$52)*(K37-$J$52)+(L37-$K$52)*(L37-$K$52)))</f>
        <v>1.7838805399468904</v>
      </c>
      <c r="J76" s="36"/>
      <c r="K76" s="37"/>
      <c r="M76" s="41" t="s">
        <v>17</v>
      </c>
      <c r="N76" s="7" t="s">
        <v>11</v>
      </c>
      <c r="O76" s="52">
        <f>SQRT((1/3)*((J37-$M$52)*(J37-$M$52)+(K37-$N$52)*(K37-$N$52)+(L37-$O$52)*(L37-$O$52)))</f>
        <v>0.38654895228536351</v>
      </c>
      <c r="P76" s="36"/>
      <c r="Q76" s="37"/>
    </row>
    <row r="77" spans="1:17" ht="12.75">
      <c r="G77" s="33"/>
      <c r="H77" s="7" t="s">
        <v>16</v>
      </c>
      <c r="I77" s="35">
        <f>SQRT((1/3)*((J38-$I$56)*(J38-$I$56)+(K38-$J$56)*(K38-$J$56)+(L38-$K$56)*(L38-$K$56)))</f>
        <v>2.4621457620519389</v>
      </c>
      <c r="J77" s="36"/>
      <c r="K77" s="37"/>
      <c r="M77" s="33"/>
      <c r="N77" s="7" t="s">
        <v>16</v>
      </c>
      <c r="O77" s="35">
        <f>SQRT((1/3)*((J38-$M$56)*(J38-$M$56)+(K38-$N$56)*(K38-$N$56)+(L38-$O$56)*(L38-$O$56)))</f>
        <v>0</v>
      </c>
      <c r="P77" s="36"/>
      <c r="Q77" s="37"/>
    </row>
    <row r="78" spans="1:17" ht="12.75">
      <c r="G78" s="33"/>
      <c r="H78" s="7" t="s">
        <v>18</v>
      </c>
      <c r="I78" s="35">
        <f>SQRT((1/3)*((J39-$I$60)*(J39-$I$60)+(K39-$J$60)*(K39-$J$60)+(L39-$K$60)*(L39-$K$60)))</f>
        <v>1.3746434980705373E-2</v>
      </c>
      <c r="J78" s="36"/>
      <c r="K78" s="37"/>
      <c r="M78" s="33"/>
      <c r="N78" s="7" t="s">
        <v>18</v>
      </c>
      <c r="O78" s="52">
        <f>SQRT((1/3)*((J39-$M$60)*(J39-$M$60)+(K39-$N$60)*(K39-$N$60)+(L39-$O$60)*(L39-$O$60)))</f>
        <v>1.9348382812113865</v>
      </c>
      <c r="P78" s="36"/>
      <c r="Q78" s="37"/>
    </row>
    <row r="79" spans="1:17" ht="12.75">
      <c r="G79" s="34"/>
      <c r="H79" s="7" t="s">
        <v>20</v>
      </c>
      <c r="I79" s="35">
        <f>SQRT((1/3)*((J40-$I$64)*(J40-$I$64)+(K40-$J$64)*(K40-$J$64)+(L40-$K$64)*(L40-$K$64)))</f>
        <v>2.6951038522081956</v>
      </c>
      <c r="J79" s="36"/>
      <c r="K79" s="37"/>
      <c r="M79" s="34"/>
      <c r="N79" s="7" t="s">
        <v>20</v>
      </c>
      <c r="O79" s="52">
        <f>SQRT((1/3)*((J40-$M$64)*(J40-$M$64)+(K40-$N$64)*(K40-$N$64)+(L40-$O$64)*(L40-$O$64)))</f>
        <v>0.55405647379367651</v>
      </c>
      <c r="P79" s="36"/>
      <c r="Q79" s="37"/>
    </row>
    <row r="80" spans="1:17" ht="12.75">
      <c r="G80" s="32" t="s">
        <v>19</v>
      </c>
      <c r="H80" s="7" t="s">
        <v>11</v>
      </c>
      <c r="I80" s="35">
        <f>SQRT((1/3)*((J41-$I$52)*(J41-$I$52)+(K41-$J$52)*(K41-$J$52)+(L41-$K$52)*(L41-$K$52)))</f>
        <v>1.8590616411354339</v>
      </c>
      <c r="J80" s="36"/>
      <c r="K80" s="37"/>
      <c r="M80" s="32" t="s">
        <v>19</v>
      </c>
      <c r="N80" s="7" t="s">
        <v>11</v>
      </c>
      <c r="O80" s="52">
        <f>SQRT((1/3)*((J41-$M$52)*(J41-$M$52)+(K41-$N$52)*(K41-$N$52)+(L41-$O$52)*(L41-$O$52)))</f>
        <v>0.15014681923197665</v>
      </c>
      <c r="P80" s="36"/>
      <c r="Q80" s="37"/>
    </row>
    <row r="81" spans="7:19" ht="12.75">
      <c r="G81" s="33"/>
      <c r="H81" s="7" t="s">
        <v>16</v>
      </c>
      <c r="I81" s="35">
        <f>SQRT((1/3)*((J42-$I$56)*(J42-$I$56)+(K42-$J$56)*(K42-$J$56)+(L42-$K$56)*(L42-$K$56)))</f>
        <v>1.3691510751074534</v>
      </c>
      <c r="J81" s="36"/>
      <c r="K81" s="37"/>
      <c r="M81" s="33"/>
      <c r="N81" s="7" t="s">
        <v>16</v>
      </c>
      <c r="O81" s="35">
        <f>SQRT((1/3)*((J42-$M$56)*(J42-$M$56)+(K42-$N$56)*(K42-$N$56)+(L42-$O$56)*(L42-$O$56)))</f>
        <v>1.0950541562655607</v>
      </c>
      <c r="P81" s="36"/>
      <c r="Q81" s="37"/>
    </row>
    <row r="82" spans="7:19" ht="12.75">
      <c r="G82" s="33"/>
      <c r="H82" s="7" t="s">
        <v>18</v>
      </c>
      <c r="I82" s="35">
        <f>SQRT((1/3)*((J43-$I$60)*(J43-$I$60)+(K43-$J$60)*(K43-$J$60)+(L43-$K$60)*(L43-$K$60)))</f>
        <v>1.9319752995875055</v>
      </c>
      <c r="J82" s="36"/>
      <c r="K82" s="37"/>
      <c r="M82" s="33"/>
      <c r="N82" s="7" t="s">
        <v>18</v>
      </c>
      <c r="O82" s="52">
        <f>SQRT((1/3)*((J43-$M$60)*(J43-$M$60)+(K43-$N$60)*(K43-$N$60)+(L43-$O$60)*(L43-$O$60)))</f>
        <v>3.2174318406852129E-2</v>
      </c>
      <c r="P82" s="36"/>
      <c r="Q82" s="37"/>
    </row>
    <row r="83" spans="7:19" ht="12.75">
      <c r="G83" s="34"/>
      <c r="H83" s="7" t="s">
        <v>20</v>
      </c>
      <c r="I83" s="35">
        <f>SQRT((1/3)*((J44-$I$64)*(J44-$I$64)+(K44-$J$64)*(K44-$J$64)+(L44-$K$64)*(L44-$K$64)))</f>
        <v>5.4985739922821492E-2</v>
      </c>
      <c r="J83" s="36"/>
      <c r="K83" s="37"/>
      <c r="M83" s="34"/>
      <c r="N83" s="7" t="s">
        <v>20</v>
      </c>
      <c r="O83" s="52">
        <f>SQRT((1/3)*((J44-$M$64)*(J44-$M$64)+(K44-$N$64)*(K44-$N$64)+(L44-$O$64)*(L44-$O$64)))</f>
        <v>3.2373668648590126</v>
      </c>
      <c r="P83" s="36"/>
      <c r="Q83" s="37"/>
    </row>
    <row r="84" spans="7:19" ht="12.75">
      <c r="G84" s="32" t="s">
        <v>21</v>
      </c>
      <c r="H84" s="7" t="s">
        <v>11</v>
      </c>
      <c r="I84" s="35">
        <f>SQRT((1/3)*((J45-$I$52)*(J45-$I$52)+(K45-$J$52)*(K45-$J$52)+(L45-$K$52)*(L45-$K$52)))</f>
        <v>1.9123619216020198</v>
      </c>
      <c r="J84" s="36"/>
      <c r="K84" s="37"/>
      <c r="M84" s="32" t="s">
        <v>21</v>
      </c>
      <c r="N84" s="7" t="s">
        <v>11</v>
      </c>
      <c r="O84" s="52">
        <f>SQRT((1/3)*((J45-$M$52)*(J45-$M$52)+(K45-$N$52)*(K45-$N$52)+(L45-$O$52)*(L45-$O$52)))</f>
        <v>0</v>
      </c>
      <c r="P84" s="36"/>
      <c r="Q84" s="37"/>
    </row>
    <row r="85" spans="7:19" ht="12.75">
      <c r="G85" s="33"/>
      <c r="H85" s="7" t="s">
        <v>16</v>
      </c>
      <c r="I85" s="35">
        <f>SQRT((1/3)*((J46-$I$56)*(J46-$I$56)+(K46-$J$56)*(K46-$J$56)+(L46-$K$56)*(L46-$K$56)))</f>
        <v>1.3661286435400948</v>
      </c>
      <c r="J85" s="36"/>
      <c r="K85" s="37"/>
      <c r="M85" s="33"/>
      <c r="N85" s="7" t="s">
        <v>16</v>
      </c>
      <c r="O85" s="35">
        <f>SQRT((1/3)*((J46-$M$56)*(J46-$M$56)+(K46-$N$56)*(K46-$N$56)+(L46-$O$56)*(L46-$O$56)))</f>
        <v>1.096110587472493</v>
      </c>
      <c r="P85" s="36"/>
      <c r="Q85" s="37"/>
    </row>
    <row r="86" spans="7:19" ht="12.75">
      <c r="G86" s="33"/>
      <c r="H86" s="7" t="s">
        <v>18</v>
      </c>
      <c r="I86" s="35">
        <f>SQRT((1/3)*((J47-$I$60)*(J47-$I$60)+(K47-$J$60)*(K47-$J$60)+(L47-$K$60)*(L47-$K$60)))</f>
        <v>1.9350173240003616</v>
      </c>
      <c r="J86" s="36"/>
      <c r="K86" s="37"/>
      <c r="M86" s="33"/>
      <c r="N86" s="7" t="s">
        <v>18</v>
      </c>
      <c r="O86" s="52">
        <f>SQRT((1/3)*((J47-$M$60)*(J47-$M$60)+(K47-$N$60)*(K47-$N$60)+(L47-$O$60)*(L47-$O$60)))</f>
        <v>0</v>
      </c>
      <c r="P86" s="36"/>
      <c r="Q86" s="37"/>
      <c r="S86" s="13"/>
    </row>
    <row r="87" spans="7:19" ht="12.75">
      <c r="G87" s="34"/>
      <c r="H87" s="7" t="s">
        <v>20</v>
      </c>
      <c r="I87" s="35">
        <f>SQRT((1/3)*((J48-$I$64)*(J48-$I$64)+(K48-$J$64)*(K48-$J$64)+(L48-$K$64)*(L48-$K$64)))</f>
        <v>3.2378337896318787</v>
      </c>
      <c r="J87" s="36"/>
      <c r="K87" s="37"/>
      <c r="M87" s="34"/>
      <c r="N87" s="7" t="s">
        <v>20</v>
      </c>
      <c r="O87" s="52">
        <f>SQRT((1/3)*((J48-$M$64)*(J48-$M$64)+(K48-$N$64)*(K48-$N$64)+(L48-$O$64)*(L48-$O$64)))</f>
        <v>0</v>
      </c>
      <c r="P87" s="36"/>
      <c r="Q87" s="37"/>
    </row>
    <row r="89" spans="7:19" ht="24.75" customHeight="1"/>
    <row r="90" spans="7:19" ht="24.75" customHeight="1"/>
    <row r="91" spans="7:19" ht="12.75"/>
    <row r="92" spans="7:19" ht="12.75"/>
    <row r="93" spans="7:19" ht="12.75"/>
    <row r="94" spans="7:19" ht="12.75"/>
  </sheetData>
  <mergeCells count="118">
    <mergeCell ref="M56:M59"/>
    <mergeCell ref="N56:N59"/>
    <mergeCell ref="O56:O59"/>
    <mergeCell ref="K56:K59"/>
    <mergeCell ref="H31:H32"/>
    <mergeCell ref="I31:I32"/>
    <mergeCell ref="G11:I11"/>
    <mergeCell ref="M5:O5"/>
    <mergeCell ref="M6:O6"/>
    <mergeCell ref="M7:O7"/>
    <mergeCell ref="M50:O50"/>
    <mergeCell ref="I52:I55"/>
    <mergeCell ref="I56:I59"/>
    <mergeCell ref="J52:J55"/>
    <mergeCell ref="J56:J59"/>
    <mergeCell ref="M52:M55"/>
    <mergeCell ref="N52:N55"/>
    <mergeCell ref="O52:O55"/>
    <mergeCell ref="B3:B4"/>
    <mergeCell ref="C3:E3"/>
    <mergeCell ref="J11:L11"/>
    <mergeCell ref="M4:O4"/>
    <mergeCell ref="D11:F11"/>
    <mergeCell ref="H50:H51"/>
    <mergeCell ref="G70:G71"/>
    <mergeCell ref="H70:H71"/>
    <mergeCell ref="H52:H55"/>
    <mergeCell ref="H56:H59"/>
    <mergeCell ref="H60:H63"/>
    <mergeCell ref="H64:H67"/>
    <mergeCell ref="J31:L31"/>
    <mergeCell ref="H33:H36"/>
    <mergeCell ref="H37:H40"/>
    <mergeCell ref="H41:H44"/>
    <mergeCell ref="H45:H48"/>
    <mergeCell ref="K52:K55"/>
    <mergeCell ref="L52:L55"/>
    <mergeCell ref="L56:L59"/>
    <mergeCell ref="N70:N71"/>
    <mergeCell ref="O70:Q71"/>
    <mergeCell ref="M70:M71"/>
    <mergeCell ref="I50:K50"/>
    <mergeCell ref="G72:G75"/>
    <mergeCell ref="O72:Q72"/>
    <mergeCell ref="O73:Q73"/>
    <mergeCell ref="G76:G79"/>
    <mergeCell ref="G80:G83"/>
    <mergeCell ref="G84:G87"/>
    <mergeCell ref="M76:M79"/>
    <mergeCell ref="M80:M83"/>
    <mergeCell ref="M84:M87"/>
    <mergeCell ref="O80:Q80"/>
    <mergeCell ref="O81:Q81"/>
    <mergeCell ref="O82:Q82"/>
    <mergeCell ref="O83:Q83"/>
    <mergeCell ref="O84:Q84"/>
    <mergeCell ref="O85:Q85"/>
    <mergeCell ref="O86:Q86"/>
    <mergeCell ref="O87:Q87"/>
    <mergeCell ref="O74:Q74"/>
    <mergeCell ref="I75:K75"/>
    <mergeCell ref="O75:Q75"/>
    <mergeCell ref="O76:Q76"/>
    <mergeCell ref="O77:Q77"/>
    <mergeCell ref="O78:Q78"/>
    <mergeCell ref="O79:Q79"/>
    <mergeCell ref="I81:K81"/>
    <mergeCell ref="I82:K82"/>
    <mergeCell ref="I83:K83"/>
    <mergeCell ref="I84:K84"/>
    <mergeCell ref="I85:K85"/>
    <mergeCell ref="I86:K86"/>
    <mergeCell ref="I87:K87"/>
    <mergeCell ref="I70:K71"/>
    <mergeCell ref="I74:K74"/>
    <mergeCell ref="I76:K76"/>
    <mergeCell ref="I77:K77"/>
    <mergeCell ref="I78:K78"/>
    <mergeCell ref="I79:K79"/>
    <mergeCell ref="I80:K80"/>
    <mergeCell ref="M72:M75"/>
    <mergeCell ref="I72:K72"/>
    <mergeCell ref="I73:K73"/>
    <mergeCell ref="B13:B16"/>
    <mergeCell ref="B17:B20"/>
    <mergeCell ref="B21:B24"/>
    <mergeCell ref="B11:B12"/>
    <mergeCell ref="C11:C12"/>
    <mergeCell ref="B25:B28"/>
    <mergeCell ref="B31:B32"/>
    <mergeCell ref="B33:B36"/>
    <mergeCell ref="B37:B40"/>
    <mergeCell ref="B41:B44"/>
    <mergeCell ref="B45:B48"/>
    <mergeCell ref="C31:C32"/>
    <mergeCell ref="D31:F31"/>
    <mergeCell ref="B52:B55"/>
    <mergeCell ref="B56:B59"/>
    <mergeCell ref="B60:B63"/>
    <mergeCell ref="B64:B67"/>
    <mergeCell ref="C50:C51"/>
    <mergeCell ref="B50:B51"/>
    <mergeCell ref="D50:F50"/>
    <mergeCell ref="L50:L51"/>
    <mergeCell ref="I60:I63"/>
    <mergeCell ref="I64:I67"/>
    <mergeCell ref="O64:O67"/>
    <mergeCell ref="J60:J63"/>
    <mergeCell ref="J64:J67"/>
    <mergeCell ref="O60:O63"/>
    <mergeCell ref="N60:N63"/>
    <mergeCell ref="L60:L63"/>
    <mergeCell ref="L64:L67"/>
    <mergeCell ref="M64:M67"/>
    <mergeCell ref="N64:N67"/>
    <mergeCell ref="K64:K67"/>
    <mergeCell ref="M60:M63"/>
    <mergeCell ref="K60:K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</dc:creator>
  <cp:lastModifiedBy>Денис Бражников</cp:lastModifiedBy>
  <dcterms:created xsi:type="dcterms:W3CDTF">2025-12-25T21:06:41Z</dcterms:created>
  <dcterms:modified xsi:type="dcterms:W3CDTF">2025-12-25T21:39:18Z</dcterms:modified>
</cp:coreProperties>
</file>