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Денис\Desktop\"/>
    </mc:Choice>
  </mc:AlternateContent>
  <xr:revisionPtr revIDLastSave="0" documentId="13_ncr:1_{9220ADC5-3886-442F-825D-45F8F787AE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1" l="1"/>
  <c r="J8" i="1"/>
  <c r="K7" i="1"/>
  <c r="J7" i="1"/>
  <c r="K6" i="1"/>
  <c r="J6" i="1"/>
  <c r="K5" i="1"/>
  <c r="J5" i="1"/>
  <c r="K4" i="1"/>
  <c r="J4" i="1"/>
  <c r="K3" i="1"/>
  <c r="J3" i="1"/>
</calcChain>
</file>

<file path=xl/sharedStrings.xml><?xml version="1.0" encoding="utf-8"?>
<sst xmlns="http://schemas.openxmlformats.org/spreadsheetml/2006/main" count="126" uniqueCount="42">
  <si>
    <t>№</t>
  </si>
  <si>
    <t>Задача/Участник</t>
  </si>
  <si>
    <t>Неделя</t>
  </si>
  <si>
    <t>Часы</t>
  </si>
  <si>
    <t>Кол-во задач</t>
  </si>
  <si>
    <t>Рабочий созвон</t>
  </si>
  <si>
    <t>R</t>
  </si>
  <si>
    <t>Создание github проекта</t>
  </si>
  <si>
    <t>I</t>
  </si>
  <si>
    <t>Создать 4 концепции программного проекта</t>
  </si>
  <si>
    <t>Сформулировать 4 критерия</t>
  </si>
  <si>
    <t>Расставить оценки в TOPSIS</t>
  </si>
  <si>
    <t>C</t>
  </si>
  <si>
    <t>TOPSIS</t>
  </si>
  <si>
    <t>S</t>
  </si>
  <si>
    <t>Расставить оценки в МАИ</t>
  </si>
  <si>
    <t>С</t>
  </si>
  <si>
    <t>МАИ</t>
  </si>
  <si>
    <t>Анализ рузультатов и вывод</t>
  </si>
  <si>
    <t>Разбиение работы фазы 3 на задачи</t>
  </si>
  <si>
    <t>Оценить сложность или трудозатраты задач экспертным путём</t>
  </si>
  <si>
    <t>Раздайте индивидуальные оценки предпочтительности задач</t>
  </si>
  <si>
    <t>Сформулировать и обосновать постановку задачи распределения на основе оценок сложности и предпочтений (целевую функцию, ограничения)</t>
  </si>
  <si>
    <t>Решить задачу, воспользовавшись любым подходящим инструментом (OpenSolver)</t>
  </si>
  <si>
    <t>Набросать Use Cases (не менее 10) для проекта</t>
  </si>
  <si>
    <t>Оценить проект в COSMIC Function Points</t>
  </si>
  <si>
    <t>Оценить проект в Use Case Points</t>
  </si>
  <si>
    <t>Оценить проект коллективным экспертным путём</t>
  </si>
  <si>
    <t>На основе различных оценок сделать выводы о масштабах проекта</t>
  </si>
  <si>
    <t>Разбить работы фазы 5 на задачи</t>
  </si>
  <si>
    <t>Сделать трёхточечные оценки времени выполнения этих задач</t>
  </si>
  <si>
    <t>Сделать прогноз выполнения задач 5 фазы методом Монте-Карло</t>
  </si>
  <si>
    <t>Разложение проекта на отдельные задачи</t>
  </si>
  <si>
    <t>Определение состава команды</t>
  </si>
  <si>
    <t>Определение ресурсных требований</t>
  </si>
  <si>
    <t>Определение связей предшествования между задачами</t>
  </si>
  <si>
    <t>Решение задачи эвристическими методами</t>
  </si>
  <si>
    <t>Оформить GitHUB всех стадий</t>
  </si>
  <si>
    <t>Асатрян Гагик</t>
  </si>
  <si>
    <t>Бражников Денис</t>
  </si>
  <si>
    <t>Свиридов Данила</t>
  </si>
  <si>
    <t>Время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</si>
</sst>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hh:mm:ss"/>
  </numFmts>
  <fonts count="9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5"/>
      <color theme="1"/>
      <name val="Arial"/>
      <scheme val="minor"/>
    </font>
    <font>
      <sz val="14"/>
      <color theme="1"/>
      <name val="Arial"/>
      <scheme val="minor"/>
    </font>
    <font>
      <sz val="15"/>
      <color theme="1"/>
      <name val="&quot;Arial&quot;"/>
    </font>
    <font>
      <sz val="15"/>
      <color rgb="FF333333"/>
      <name val="Arial"/>
      <scheme val="minor"/>
    </font>
    <font>
      <sz val="15"/>
      <color rgb="FF000000"/>
      <name val="Arial"/>
    </font>
    <font>
      <sz val="10"/>
      <color theme="1"/>
      <name val="Arial"/>
      <scheme val="minor"/>
    </font>
    <font>
      <sz val="15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3" fillId="0" borderId="0" xfId="0" applyFont="1" applyAlignment="1"/>
    <xf numFmtId="165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3" fillId="0" borderId="0" xfId="0" applyFont="1" applyBorder="1" applyAlignment="1"/>
    <xf numFmtId="165" fontId="3" fillId="0" borderId="0" xfId="0" applyNumberFormat="1" applyFont="1" applyBorder="1"/>
    <xf numFmtId="0" fontId="3" fillId="0" borderId="0" xfId="0" applyFont="1" applyBorder="1"/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wrapText="1"/>
    </xf>
    <xf numFmtId="0" fontId="2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K82"/>
  <sheetViews>
    <sheetView tabSelected="1" zoomScale="70" zoomScaleNormal="70" workbookViewId="0">
      <selection activeCell="J22" sqref="J22"/>
    </sheetView>
  </sheetViews>
  <sheetFormatPr defaultColWidth="12.5703125" defaultRowHeight="15.75" customHeight="1"/>
  <cols>
    <col min="1" max="1" width="6.42578125" customWidth="1"/>
    <col min="2" max="2" width="80.85546875" customWidth="1"/>
    <col min="3" max="3" width="28.42578125" customWidth="1"/>
    <col min="4" max="4" width="29.140625" customWidth="1"/>
    <col min="5" max="5" width="33.7109375" customWidth="1"/>
    <col min="6" max="6" width="25.85546875" customWidth="1"/>
    <col min="9" max="9" width="11.7109375" customWidth="1"/>
    <col min="10" max="10" width="13.42578125" customWidth="1"/>
    <col min="11" max="11" width="17.7109375" customWidth="1"/>
  </cols>
  <sheetData>
    <row r="2" spans="1:11" ht="15.75" customHeight="1">
      <c r="A2" s="19" t="s">
        <v>0</v>
      </c>
      <c r="B2" s="19" t="s">
        <v>1</v>
      </c>
      <c r="C2" s="19" t="s">
        <v>38</v>
      </c>
      <c r="D2" s="19" t="s">
        <v>39</v>
      </c>
      <c r="E2" s="19" t="s">
        <v>40</v>
      </c>
      <c r="F2" s="19" t="s">
        <v>41</v>
      </c>
      <c r="G2" s="19" t="s">
        <v>2</v>
      </c>
      <c r="I2" s="19" t="s">
        <v>2</v>
      </c>
      <c r="J2" s="19" t="s">
        <v>3</v>
      </c>
      <c r="K2" s="19" t="s">
        <v>4</v>
      </c>
    </row>
    <row r="3" spans="1:11" ht="15.75" customHeight="1">
      <c r="A3" s="8">
        <v>1</v>
      </c>
      <c r="B3" s="10" t="s">
        <v>5</v>
      </c>
      <c r="C3" s="8" t="s">
        <v>6</v>
      </c>
      <c r="D3" s="8" t="s">
        <v>6</v>
      </c>
      <c r="E3" s="8" t="s">
        <v>6</v>
      </c>
      <c r="F3" s="9">
        <v>0.15763888888888888</v>
      </c>
      <c r="G3" s="8">
        <v>1</v>
      </c>
      <c r="I3" s="17">
        <v>1</v>
      </c>
      <c r="J3" s="18">
        <f>SUMIF(G:G, "="&amp;I3, F:F)</f>
        <v>0.23124999999999998</v>
      </c>
      <c r="K3" s="17">
        <f>SUMIF(G:G, "="&amp;I3, G:G)/I3</f>
        <v>5</v>
      </c>
    </row>
    <row r="4" spans="1:11" ht="15.75" customHeight="1">
      <c r="A4" s="8">
        <v>2</v>
      </c>
      <c r="B4" s="10" t="s">
        <v>7</v>
      </c>
      <c r="C4" s="8" t="s">
        <v>8</v>
      </c>
      <c r="D4" s="8" t="s">
        <v>6</v>
      </c>
      <c r="E4" s="8" t="s">
        <v>8</v>
      </c>
      <c r="F4" s="9">
        <v>1.0416666666666666E-2</v>
      </c>
      <c r="G4" s="8">
        <v>1</v>
      </c>
      <c r="I4" s="17">
        <v>2</v>
      </c>
      <c r="J4" s="18">
        <f>SUMIF(G:G, "="&amp;I4, F:F)</f>
        <v>0.28402777777777777</v>
      </c>
      <c r="K4" s="17">
        <f>SUMIF(G:G, "="&amp;I4, G:G)/I4</f>
        <v>4</v>
      </c>
    </row>
    <row r="5" spans="1:11" ht="15.75" customHeight="1">
      <c r="A5" s="8">
        <v>3</v>
      </c>
      <c r="B5" s="10" t="s">
        <v>9</v>
      </c>
      <c r="C5" s="8" t="s">
        <v>8</v>
      </c>
      <c r="D5" s="8" t="s">
        <v>8</v>
      </c>
      <c r="E5" s="8" t="s">
        <v>6</v>
      </c>
      <c r="F5" s="9">
        <v>2.8472222222222222E-2</v>
      </c>
      <c r="G5" s="8">
        <v>1</v>
      </c>
      <c r="I5" s="17">
        <v>3</v>
      </c>
      <c r="J5" s="18">
        <f>SUMIF(G:G, "="&amp;I5, F:F)</f>
        <v>0.20624999999999999</v>
      </c>
      <c r="K5" s="17">
        <f>SUMIF(G:G, "="&amp;I5, G:G)/I5</f>
        <v>7</v>
      </c>
    </row>
    <row r="6" spans="1:11" ht="15.75" customHeight="1">
      <c r="A6" s="8">
        <v>4</v>
      </c>
      <c r="B6" s="11" t="s">
        <v>10</v>
      </c>
      <c r="C6" s="8" t="s">
        <v>8</v>
      </c>
      <c r="D6" s="8" t="s">
        <v>8</v>
      </c>
      <c r="E6" s="8" t="s">
        <v>6</v>
      </c>
      <c r="F6" s="9">
        <v>1.1805555555555555E-2</v>
      </c>
      <c r="G6" s="8">
        <v>1</v>
      </c>
      <c r="I6" s="17">
        <v>4</v>
      </c>
      <c r="J6" s="18">
        <f>SUMIF(G:G, "="&amp;I6, F:F)</f>
        <v>0.38819444444444445</v>
      </c>
      <c r="K6" s="17">
        <f>SUMIF(G:G, "="&amp;I6, G:G)/I6</f>
        <v>4</v>
      </c>
    </row>
    <row r="7" spans="1:11" ht="15.75" customHeight="1">
      <c r="A7" s="8">
        <v>5</v>
      </c>
      <c r="B7" s="10" t="s">
        <v>11</v>
      </c>
      <c r="C7" s="8" t="s">
        <v>6</v>
      </c>
      <c r="D7" s="8" t="s">
        <v>12</v>
      </c>
      <c r="E7" s="8" t="s">
        <v>12</v>
      </c>
      <c r="F7" s="9">
        <v>2.2916666666666665E-2</v>
      </c>
      <c r="G7" s="8">
        <v>1</v>
      </c>
      <c r="I7" s="17">
        <v>5</v>
      </c>
      <c r="J7" s="18">
        <f>SUMIF(G:G, "="&amp;I7, F:F)</f>
        <v>0.16527777777777777</v>
      </c>
      <c r="K7" s="17">
        <f>SUMIF(G:G, "="&amp;I7, G:G)/I7</f>
        <v>4</v>
      </c>
    </row>
    <row r="8" spans="1:11" ht="15.75" customHeight="1">
      <c r="A8" s="8">
        <v>6</v>
      </c>
      <c r="B8" s="10" t="s">
        <v>13</v>
      </c>
      <c r="C8" s="8" t="s">
        <v>6</v>
      </c>
      <c r="D8" s="8" t="s">
        <v>14</v>
      </c>
      <c r="E8" s="8" t="s">
        <v>14</v>
      </c>
      <c r="F8" s="9">
        <v>0.21666666666666667</v>
      </c>
      <c r="G8" s="8">
        <v>2</v>
      </c>
      <c r="I8" s="17">
        <v>6</v>
      </c>
      <c r="J8" s="18">
        <f>SUMIF(G:G, "="&amp;I8, F:F)</f>
        <v>0.23749999999999999</v>
      </c>
      <c r="K8" s="17">
        <f>SUMIF(G:G, "="&amp;I8, G:G)/I8</f>
        <v>5</v>
      </c>
    </row>
    <row r="9" spans="1:11" ht="15.75" customHeight="1">
      <c r="A9" s="8">
        <v>7</v>
      </c>
      <c r="B9" s="10" t="s">
        <v>15</v>
      </c>
      <c r="C9" s="8" t="s">
        <v>12</v>
      </c>
      <c r="D9" s="8" t="s">
        <v>6</v>
      </c>
      <c r="E9" s="8" t="s">
        <v>16</v>
      </c>
      <c r="F9" s="9">
        <v>1.8055555555555554E-2</v>
      </c>
      <c r="G9" s="12">
        <v>2</v>
      </c>
      <c r="I9" s="14"/>
      <c r="J9" s="15"/>
      <c r="K9" s="16"/>
    </row>
    <row r="10" spans="1:11" ht="15.75" customHeight="1">
      <c r="A10" s="8">
        <v>8</v>
      </c>
      <c r="B10" s="10" t="s">
        <v>17</v>
      </c>
      <c r="C10" s="8" t="s">
        <v>14</v>
      </c>
      <c r="D10" s="8" t="s">
        <v>6</v>
      </c>
      <c r="E10" s="8" t="s">
        <v>14</v>
      </c>
      <c r="F10" s="9">
        <v>2.7083333333333334E-2</v>
      </c>
      <c r="G10" s="12">
        <v>2</v>
      </c>
      <c r="I10" s="1"/>
      <c r="J10" s="2"/>
      <c r="K10" s="3"/>
    </row>
    <row r="11" spans="1:11" ht="15.75" customHeight="1">
      <c r="A11" s="8">
        <v>9</v>
      </c>
      <c r="B11" s="10" t="s">
        <v>18</v>
      </c>
      <c r="C11" s="8" t="s">
        <v>14</v>
      </c>
      <c r="D11" s="8" t="s">
        <v>14</v>
      </c>
      <c r="E11" s="8" t="s">
        <v>6</v>
      </c>
      <c r="F11" s="9">
        <v>2.2222222222222223E-2</v>
      </c>
      <c r="G11" s="8">
        <v>2</v>
      </c>
    </row>
    <row r="12" spans="1:11" ht="15.75" customHeight="1">
      <c r="A12" s="8">
        <v>10</v>
      </c>
      <c r="B12" s="10" t="s">
        <v>19</v>
      </c>
      <c r="C12" s="8" t="s">
        <v>14</v>
      </c>
      <c r="D12" s="8" t="s">
        <v>14</v>
      </c>
      <c r="E12" s="8" t="s">
        <v>6</v>
      </c>
      <c r="F12" s="9">
        <v>2.6388888888888889E-2</v>
      </c>
      <c r="G12" s="8">
        <v>3</v>
      </c>
    </row>
    <row r="13" spans="1:11" ht="15.75" customHeight="1">
      <c r="A13" s="8">
        <v>11</v>
      </c>
      <c r="B13" s="13" t="s">
        <v>20</v>
      </c>
      <c r="C13" s="8" t="s">
        <v>6</v>
      </c>
      <c r="D13" s="8" t="s">
        <v>14</v>
      </c>
      <c r="E13" s="8" t="s">
        <v>14</v>
      </c>
      <c r="F13" s="9">
        <v>1.4583333333333334E-2</v>
      </c>
      <c r="G13" s="8">
        <v>3</v>
      </c>
    </row>
    <row r="14" spans="1:11" ht="15.75" customHeight="1">
      <c r="A14" s="8">
        <v>12</v>
      </c>
      <c r="B14" s="20" t="s">
        <v>21</v>
      </c>
      <c r="C14" s="8" t="s">
        <v>6</v>
      </c>
      <c r="D14" s="8" t="s">
        <v>14</v>
      </c>
      <c r="E14" s="8" t="s">
        <v>14</v>
      </c>
      <c r="F14" s="9">
        <v>1.3194444444444444E-2</v>
      </c>
      <c r="G14" s="8">
        <v>3</v>
      </c>
    </row>
    <row r="15" spans="1:11" ht="15.75" customHeight="1">
      <c r="A15" s="8">
        <v>13</v>
      </c>
      <c r="B15" s="13" t="s">
        <v>22</v>
      </c>
      <c r="C15" s="8" t="s">
        <v>14</v>
      </c>
      <c r="D15" s="8" t="s">
        <v>6</v>
      </c>
      <c r="E15" s="8" t="s">
        <v>14</v>
      </c>
      <c r="F15" s="9">
        <v>2.361111111111111E-2</v>
      </c>
      <c r="G15" s="8">
        <v>3</v>
      </c>
    </row>
    <row r="16" spans="1:11" ht="15.75" customHeight="1">
      <c r="A16" s="8">
        <v>14</v>
      </c>
      <c r="B16" s="13" t="s">
        <v>23</v>
      </c>
      <c r="C16" s="8" t="s">
        <v>14</v>
      </c>
      <c r="D16" s="8" t="s">
        <v>6</v>
      </c>
      <c r="E16" s="8" t="s">
        <v>14</v>
      </c>
      <c r="F16" s="9">
        <v>7.6388888888888895E-2</v>
      </c>
      <c r="G16" s="8">
        <v>3</v>
      </c>
    </row>
    <row r="17" spans="1:7" ht="15.75" customHeight="1">
      <c r="A17" s="8">
        <v>15</v>
      </c>
      <c r="B17" s="13" t="s">
        <v>24</v>
      </c>
      <c r="C17" s="8" t="s">
        <v>14</v>
      </c>
      <c r="D17" s="8" t="s">
        <v>14</v>
      </c>
      <c r="E17" s="8" t="s">
        <v>6</v>
      </c>
      <c r="F17" s="9">
        <v>1.8749999999999999E-2</v>
      </c>
      <c r="G17" s="8">
        <v>3</v>
      </c>
    </row>
    <row r="18" spans="1:7" ht="15.75" customHeight="1">
      <c r="A18" s="8">
        <v>16</v>
      </c>
      <c r="B18" s="13" t="s">
        <v>25</v>
      </c>
      <c r="C18" s="8" t="s">
        <v>6</v>
      </c>
      <c r="D18" s="8" t="s">
        <v>14</v>
      </c>
      <c r="E18" s="8" t="s">
        <v>14</v>
      </c>
      <c r="F18" s="9">
        <v>3.3333333333333333E-2</v>
      </c>
      <c r="G18" s="8">
        <v>3</v>
      </c>
    </row>
    <row r="19" spans="1:7" ht="15.75" customHeight="1">
      <c r="A19" s="8">
        <v>17</v>
      </c>
      <c r="B19" s="10" t="s">
        <v>5</v>
      </c>
      <c r="C19" s="8" t="s">
        <v>6</v>
      </c>
      <c r="D19" s="8" t="s">
        <v>6</v>
      </c>
      <c r="E19" s="8" t="s">
        <v>6</v>
      </c>
      <c r="F19" s="9">
        <v>0.20624999999999999</v>
      </c>
      <c r="G19" s="8">
        <v>4</v>
      </c>
    </row>
    <row r="20" spans="1:7" ht="15.75" customHeight="1">
      <c r="A20" s="8">
        <v>18</v>
      </c>
      <c r="B20" s="13" t="s">
        <v>26</v>
      </c>
      <c r="C20" s="8" t="s">
        <v>14</v>
      </c>
      <c r="D20" s="8" t="s">
        <v>6</v>
      </c>
      <c r="E20" s="8" t="s">
        <v>14</v>
      </c>
      <c r="F20" s="9">
        <v>0.11458333333333333</v>
      </c>
      <c r="G20" s="8">
        <v>4</v>
      </c>
    </row>
    <row r="21" spans="1:7" ht="15.75" customHeight="1">
      <c r="A21" s="8">
        <v>19</v>
      </c>
      <c r="B21" s="13" t="s">
        <v>27</v>
      </c>
      <c r="C21" s="8" t="s">
        <v>6</v>
      </c>
      <c r="D21" s="8" t="s">
        <v>14</v>
      </c>
      <c r="E21" s="8" t="s">
        <v>14</v>
      </c>
      <c r="F21" s="9">
        <v>2.5000000000000001E-2</v>
      </c>
      <c r="G21" s="8">
        <v>4</v>
      </c>
    </row>
    <row r="22" spans="1:7" ht="15.75" customHeight="1">
      <c r="A22" s="8">
        <v>20</v>
      </c>
      <c r="B22" s="13" t="s">
        <v>28</v>
      </c>
      <c r="C22" s="8" t="s">
        <v>14</v>
      </c>
      <c r="D22" s="8" t="s">
        <v>14</v>
      </c>
      <c r="E22" s="8" t="s">
        <v>6</v>
      </c>
      <c r="F22" s="9">
        <v>4.2361111111111113E-2</v>
      </c>
      <c r="G22" s="8">
        <v>4</v>
      </c>
    </row>
    <row r="23" spans="1:7" ht="18.75">
      <c r="A23" s="8">
        <v>21</v>
      </c>
      <c r="B23" s="13" t="s">
        <v>29</v>
      </c>
      <c r="C23" s="8" t="s">
        <v>14</v>
      </c>
      <c r="D23" s="8" t="s">
        <v>14</v>
      </c>
      <c r="E23" s="8" t="s">
        <v>6</v>
      </c>
      <c r="F23" s="9">
        <v>1.3888888888888888E-2</v>
      </c>
      <c r="G23" s="8">
        <v>5</v>
      </c>
    </row>
    <row r="24" spans="1:7" ht="37.5">
      <c r="A24" s="8">
        <v>22</v>
      </c>
      <c r="B24" s="10" t="s">
        <v>30</v>
      </c>
      <c r="C24" s="8" t="s">
        <v>6</v>
      </c>
      <c r="D24" s="8" t="s">
        <v>14</v>
      </c>
      <c r="E24" s="8" t="s">
        <v>14</v>
      </c>
      <c r="F24" s="9">
        <v>2.6388888888888889E-2</v>
      </c>
      <c r="G24" s="8">
        <v>5</v>
      </c>
    </row>
    <row r="25" spans="1:7" ht="37.5">
      <c r="A25" s="8">
        <v>23</v>
      </c>
      <c r="B25" s="13" t="s">
        <v>31</v>
      </c>
      <c r="C25" s="8" t="s">
        <v>14</v>
      </c>
      <c r="D25" s="8" t="s">
        <v>6</v>
      </c>
      <c r="E25" s="8" t="s">
        <v>14</v>
      </c>
      <c r="F25" s="9">
        <v>0.10277777777777777</v>
      </c>
      <c r="G25" s="8">
        <v>5</v>
      </c>
    </row>
    <row r="26" spans="1:7" ht="18.75">
      <c r="A26" s="8">
        <v>24</v>
      </c>
      <c r="B26" s="13" t="s">
        <v>32</v>
      </c>
      <c r="C26" s="8" t="s">
        <v>14</v>
      </c>
      <c r="D26" s="8" t="s">
        <v>14</v>
      </c>
      <c r="E26" s="8" t="s">
        <v>6</v>
      </c>
      <c r="F26" s="9">
        <v>2.2222222222222223E-2</v>
      </c>
      <c r="G26" s="8">
        <v>5</v>
      </c>
    </row>
    <row r="27" spans="1:7" ht="18.75">
      <c r="A27" s="8">
        <v>25</v>
      </c>
      <c r="B27" s="10" t="s">
        <v>33</v>
      </c>
      <c r="C27" s="8" t="s">
        <v>14</v>
      </c>
      <c r="D27" s="8" t="s">
        <v>14</v>
      </c>
      <c r="E27" s="8" t="s">
        <v>6</v>
      </c>
      <c r="F27" s="9">
        <v>1.1805555555555555E-2</v>
      </c>
      <c r="G27" s="8">
        <v>6</v>
      </c>
    </row>
    <row r="28" spans="1:7" ht="18.75">
      <c r="A28" s="8">
        <v>26</v>
      </c>
      <c r="B28" s="10" t="s">
        <v>34</v>
      </c>
      <c r="C28" s="8" t="s">
        <v>14</v>
      </c>
      <c r="D28" s="8" t="s">
        <v>14</v>
      </c>
      <c r="E28" s="8" t="s">
        <v>6</v>
      </c>
      <c r="F28" s="9">
        <v>2.9166666666666667E-2</v>
      </c>
      <c r="G28" s="8">
        <v>6</v>
      </c>
    </row>
    <row r="29" spans="1:7" ht="18.75">
      <c r="A29" s="8">
        <v>27</v>
      </c>
      <c r="B29" s="13" t="s">
        <v>35</v>
      </c>
      <c r="C29" s="8" t="s">
        <v>14</v>
      </c>
      <c r="D29" s="8" t="s">
        <v>6</v>
      </c>
      <c r="E29" s="8" t="s">
        <v>14</v>
      </c>
      <c r="F29" s="9">
        <v>6.9444444444444441E-3</v>
      </c>
      <c r="G29" s="8">
        <v>6</v>
      </c>
    </row>
    <row r="30" spans="1:7" ht="18.75">
      <c r="A30" s="8">
        <v>28</v>
      </c>
      <c r="B30" s="10" t="s">
        <v>36</v>
      </c>
      <c r="C30" s="8" t="s">
        <v>14</v>
      </c>
      <c r="D30" s="8" t="s">
        <v>6</v>
      </c>
      <c r="E30" s="8" t="s">
        <v>14</v>
      </c>
      <c r="F30" s="9">
        <v>7.0833333333333331E-2</v>
      </c>
      <c r="G30" s="8">
        <v>6</v>
      </c>
    </row>
    <row r="31" spans="1:7" ht="18.75">
      <c r="A31" s="8">
        <v>29</v>
      </c>
      <c r="B31" s="10" t="s">
        <v>37</v>
      </c>
      <c r="C31" s="8" t="s">
        <v>6</v>
      </c>
      <c r="D31" s="8" t="s">
        <v>14</v>
      </c>
      <c r="E31" s="8" t="s">
        <v>14</v>
      </c>
      <c r="F31" s="9">
        <v>0.11874999999999999</v>
      </c>
      <c r="G31" s="8">
        <v>6</v>
      </c>
    </row>
    <row r="32" spans="1:7" ht="18.75">
      <c r="A32" s="21"/>
      <c r="B32" s="5"/>
      <c r="F32" s="6"/>
    </row>
    <row r="33" spans="1:6" ht="18.75">
      <c r="A33" s="21"/>
      <c r="B33" s="5"/>
      <c r="F33" s="6"/>
    </row>
    <row r="34" spans="1:6" ht="18.75">
      <c r="A34" s="21"/>
      <c r="B34" s="5"/>
    </row>
    <row r="35" spans="1:6" ht="18.75">
      <c r="A35" s="21"/>
    </row>
    <row r="36" spans="1:6" ht="18.75">
      <c r="A36" s="21"/>
      <c r="B36" s="5"/>
    </row>
    <row r="37" spans="1:6" ht="18.75">
      <c r="A37" s="21"/>
      <c r="B37" s="5"/>
    </row>
    <row r="38" spans="1:6" ht="18.75">
      <c r="A38" s="21"/>
      <c r="B38" s="5"/>
    </row>
    <row r="39" spans="1:6" ht="18.75">
      <c r="A39" s="21"/>
      <c r="B39" s="5"/>
    </row>
    <row r="40" spans="1:6" ht="18.75">
      <c r="A40" s="21"/>
      <c r="B40" s="5"/>
    </row>
    <row r="41" spans="1:6" ht="18.75">
      <c r="A41" s="21"/>
      <c r="B41" s="5"/>
    </row>
    <row r="42" spans="1:6" ht="18.75">
      <c r="A42" s="21"/>
      <c r="B42" s="5"/>
    </row>
    <row r="43" spans="1:6" ht="18.75">
      <c r="A43" s="21"/>
      <c r="B43" s="5"/>
    </row>
    <row r="44" spans="1:6" ht="18.75">
      <c r="A44" s="21"/>
      <c r="B44" s="5"/>
    </row>
    <row r="45" spans="1:6" ht="18.75">
      <c r="A45" s="21"/>
      <c r="B45" s="5"/>
    </row>
    <row r="46" spans="1:6" ht="18.75">
      <c r="A46" s="21"/>
      <c r="B46" s="5"/>
    </row>
    <row r="47" spans="1:6" ht="18.75">
      <c r="A47" s="21"/>
      <c r="B47" s="5"/>
    </row>
    <row r="48" spans="1:6" ht="18.75">
      <c r="A48" s="21"/>
      <c r="B48" s="5"/>
    </row>
    <row r="49" spans="1:2" ht="18.75">
      <c r="A49" s="21"/>
      <c r="B49" s="5"/>
    </row>
    <row r="50" spans="1:2" ht="18.75">
      <c r="A50" s="21"/>
      <c r="B50" s="5"/>
    </row>
    <row r="51" spans="1:2" ht="18.75">
      <c r="A51" s="21"/>
      <c r="B51" s="5"/>
    </row>
    <row r="52" spans="1:2" ht="18.75">
      <c r="A52" s="4"/>
      <c r="B52" s="5"/>
    </row>
    <row r="53" spans="1:2" ht="18.75">
      <c r="A53" s="4"/>
      <c r="B53" s="5"/>
    </row>
    <row r="54" spans="1:2" ht="18.75">
      <c r="A54" s="4"/>
      <c r="B54" s="5"/>
    </row>
    <row r="55" spans="1:2" ht="18.75">
      <c r="A55" s="4"/>
      <c r="B55" s="5"/>
    </row>
    <row r="56" spans="1:2" ht="18.75">
      <c r="A56" s="4"/>
      <c r="B56" s="5"/>
    </row>
    <row r="57" spans="1:2" ht="18.75">
      <c r="A57" s="4"/>
      <c r="B57" s="5"/>
    </row>
    <row r="58" spans="1:2" ht="18.75">
      <c r="A58" s="4"/>
      <c r="B58" s="5"/>
    </row>
    <row r="59" spans="1:2" ht="18.75">
      <c r="A59" s="4"/>
      <c r="B59" s="5"/>
    </row>
    <row r="60" spans="1:2" ht="18.75">
      <c r="A60" s="4"/>
      <c r="B60" s="5"/>
    </row>
    <row r="61" spans="1:2" ht="18.75">
      <c r="A61" s="4"/>
      <c r="B61" s="5"/>
    </row>
    <row r="62" spans="1:2" ht="18.75">
      <c r="A62" s="4"/>
      <c r="B62" s="5"/>
    </row>
    <row r="63" spans="1:2" ht="18.75">
      <c r="A63" s="4"/>
      <c r="B63" s="5"/>
    </row>
    <row r="64" spans="1:2" ht="18.75">
      <c r="A64" s="4"/>
      <c r="B64" s="5"/>
    </row>
    <row r="65" spans="1:1" ht="18.75">
      <c r="A65" s="4"/>
    </row>
    <row r="66" spans="1:1" ht="18.75">
      <c r="A66" s="4"/>
    </row>
    <row r="67" spans="1:1" ht="12.75">
      <c r="A67" s="7"/>
    </row>
    <row r="68" spans="1:1" ht="12.75">
      <c r="A68" s="7"/>
    </row>
    <row r="69" spans="1:1" ht="12.75">
      <c r="A69" s="7"/>
    </row>
    <row r="70" spans="1:1" ht="12.75">
      <c r="A70" s="7"/>
    </row>
    <row r="71" spans="1:1" ht="12.75">
      <c r="A71" s="7"/>
    </row>
    <row r="72" spans="1:1" ht="12.75">
      <c r="A72" s="7"/>
    </row>
    <row r="73" spans="1:1" ht="12.75">
      <c r="A73" s="7"/>
    </row>
    <row r="74" spans="1:1" ht="12.75">
      <c r="A74" s="7"/>
    </row>
    <row r="75" spans="1:1" ht="12.75">
      <c r="A75" s="7"/>
    </row>
    <row r="76" spans="1:1" ht="12.75">
      <c r="A76" s="7"/>
    </row>
    <row r="77" spans="1:1" ht="12.75">
      <c r="A77" s="7"/>
    </row>
    <row r="78" spans="1:1" ht="12.75">
      <c r="A78" s="7"/>
    </row>
    <row r="79" spans="1:1" ht="12.75">
      <c r="A79" s="7"/>
    </row>
    <row r="80" spans="1:1" ht="12.75">
      <c r="A80" s="7"/>
    </row>
    <row r="81" spans="1:1" ht="12.75">
      <c r="A81" s="7"/>
    </row>
    <row r="82" spans="1:1" ht="12.75">
      <c r="A82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Денис Бражников</cp:lastModifiedBy>
  <dcterms:modified xsi:type="dcterms:W3CDTF">2025-12-25T23:11:17Z</dcterms:modified>
</cp:coreProperties>
</file>