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Денис\Desktop\"/>
    </mc:Choice>
  </mc:AlternateContent>
  <xr:revisionPtr revIDLastSave="0" documentId="13_ncr:1_{67BD1B12-0429-4753-B22B-B47EF1D35E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5" i="1" l="1"/>
  <c r="J21" i="1" l="1"/>
  <c r="I21" i="1"/>
  <c r="H21" i="1"/>
  <c r="K20" i="1"/>
  <c r="K19" i="1"/>
  <c r="K18" i="1"/>
  <c r="K17" i="1"/>
  <c r="K16" i="1"/>
  <c r="K15" i="1"/>
  <c r="M14" i="1"/>
  <c r="K14" i="1"/>
</calcChain>
</file>

<file path=xl/sharedStrings.xml><?xml version="1.0" encoding="utf-8"?>
<sst xmlns="http://schemas.openxmlformats.org/spreadsheetml/2006/main" count="74" uniqueCount="36">
  <si>
    <t>Planning Poker</t>
  </si>
  <si>
    <t>Оценка сложности</t>
  </si>
  <si>
    <t>Этап 1</t>
  </si>
  <si>
    <t>Этап 2</t>
  </si>
  <si>
    <t>Результат</t>
  </si>
  <si>
    <t>Переменные</t>
  </si>
  <si>
    <t>Ограничение</t>
  </si>
  <si>
    <t>№</t>
  </si>
  <si>
    <t>Задачи</t>
  </si>
  <si>
    <t>Общая</t>
  </si>
  <si>
    <t>T1</t>
  </si>
  <si>
    <t>Общей сложности</t>
  </si>
  <si>
    <t>Написание Use Cases</t>
  </si>
  <si>
    <t>T2</t>
  </si>
  <si>
    <t>Общей суммы предпочтений</t>
  </si>
  <si>
    <t>Оценка в OSMIC FP</t>
  </si>
  <si>
    <t>T3</t>
  </si>
  <si>
    <t>Максимум на человека</t>
  </si>
  <si>
    <t>Оценка в Use Case Points</t>
  </si>
  <si>
    <t>T4</t>
  </si>
  <si>
    <t>Оценить коллектив. эксп. путем</t>
  </si>
  <si>
    <t>T5</t>
  </si>
  <si>
    <t>Оценка User Stories</t>
  </si>
  <si>
    <t>T6</t>
  </si>
  <si>
    <t>Агрегация оценок</t>
  </si>
  <si>
    <t>T7</t>
  </si>
  <si>
    <t>Анализ и выводы</t>
  </si>
  <si>
    <t>Оценка предпочтений</t>
  </si>
  <si>
    <t>Распределение задач</t>
  </si>
  <si>
    <t>Эксперт</t>
  </si>
  <si>
    <t>Оценка в OSMIC FP, Оценка User Stories</t>
  </si>
  <si>
    <t>Написание Use Cases, Оценить коллектив. эксп. путем</t>
  </si>
  <si>
    <t>Асатрян Гагик</t>
  </si>
  <si>
    <t>Бражников Денис</t>
  </si>
  <si>
    <t>Свиридов Данила</t>
  </si>
  <si>
    <t>Оценка в Use Case Points, Анализ и выводы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</si>
</sst>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000000"/>
      <name val="Arial"/>
    </font>
    <font>
      <sz val="10"/>
      <name val="Arial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3" fillId="4" borderId="0" xfId="0" applyFont="1" applyFill="1" applyAlignment="1">
      <alignment horizontal="center"/>
    </xf>
    <xf numFmtId="0" fontId="0" fillId="0" borderId="0" xfId="0"/>
    <xf numFmtId="0" fontId="3" fillId="5" borderId="2" xfId="0" applyFont="1" applyFill="1" applyBorder="1"/>
    <xf numFmtId="0" fontId="3" fillId="5" borderId="2" xfId="0" applyFont="1" applyFill="1" applyBorder="1" applyAlignment="1">
      <alignment horizontal="center"/>
    </xf>
    <xf numFmtId="0" fontId="3" fillId="0" borderId="2" xfId="0" applyFont="1" applyBorder="1"/>
    <xf numFmtId="0" fontId="4" fillId="5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2" xfId="0" applyFont="1" applyBorder="1"/>
    <xf numFmtId="0" fontId="3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2" xfId="0" applyFont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zoomScale="70" zoomScaleNormal="70" workbookViewId="0">
      <selection activeCell="D24" sqref="D24"/>
    </sheetView>
  </sheetViews>
  <sheetFormatPr defaultRowHeight="15" x14ac:dyDescent="0.25"/>
  <cols>
    <col min="2" max="2" width="41.28515625" customWidth="1"/>
    <col min="3" max="3" width="21.28515625" customWidth="1"/>
    <col min="4" max="4" width="31.140625" customWidth="1"/>
    <col min="5" max="5" width="23.85546875" customWidth="1"/>
    <col min="6" max="6" width="32.85546875" customWidth="1"/>
    <col min="7" max="7" width="22.42578125" customWidth="1"/>
    <col min="8" max="8" width="25.42578125" customWidth="1"/>
    <col min="9" max="9" width="21" customWidth="1"/>
    <col min="10" max="10" width="26.5703125" customWidth="1"/>
    <col min="11" max="11" width="21.5703125" customWidth="1"/>
    <col min="12" max="12" width="25.140625" customWidth="1"/>
    <col min="13" max="13" width="24.140625" customWidth="1"/>
    <col min="14" max="14" width="20.5703125" customWidth="1"/>
    <col min="15" max="15" width="24.5703125" customWidth="1"/>
    <col min="16" max="16" width="24.85546875" customWidth="1"/>
    <col min="17" max="17" width="26.140625" customWidth="1"/>
    <col min="18" max="18" width="15.28515625" customWidth="1"/>
    <col min="19" max="19" width="17.7109375" customWidth="1"/>
  </cols>
  <sheetData>
    <row r="1" spans="1:20" ht="18.75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R1" s="1"/>
      <c r="T1" s="1"/>
    </row>
    <row r="2" spans="1:20" ht="18.75" x14ac:dyDescent="0.3">
      <c r="A2" s="14" t="s">
        <v>1</v>
      </c>
      <c r="B2" s="13"/>
      <c r="C2" s="14" t="s">
        <v>2</v>
      </c>
      <c r="D2" s="13"/>
      <c r="E2" s="13"/>
      <c r="F2" s="14" t="s">
        <v>3</v>
      </c>
      <c r="G2" s="13"/>
      <c r="H2" s="13"/>
      <c r="I2" s="15" t="s">
        <v>4</v>
      </c>
    </row>
    <row r="3" spans="1:20" ht="18.75" x14ac:dyDescent="0.3">
      <c r="A3" s="5" t="s">
        <v>7</v>
      </c>
      <c r="B3" s="5" t="s">
        <v>8</v>
      </c>
      <c r="C3" s="5" t="s">
        <v>32</v>
      </c>
      <c r="D3" s="5" t="s">
        <v>33</v>
      </c>
      <c r="E3" s="5" t="s">
        <v>34</v>
      </c>
      <c r="F3" s="5" t="s">
        <v>32</v>
      </c>
      <c r="G3" s="5" t="s">
        <v>33</v>
      </c>
      <c r="H3" s="5" t="s">
        <v>34</v>
      </c>
      <c r="I3" s="5" t="s">
        <v>9</v>
      </c>
    </row>
    <row r="4" spans="1:20" ht="18.75" x14ac:dyDescent="0.3">
      <c r="A4" s="16" t="s">
        <v>10</v>
      </c>
      <c r="B4" s="10" t="s">
        <v>12</v>
      </c>
      <c r="C4" s="17">
        <v>5</v>
      </c>
      <c r="D4" s="17">
        <v>8</v>
      </c>
      <c r="E4" s="17">
        <v>13</v>
      </c>
      <c r="F4" s="17">
        <v>13</v>
      </c>
      <c r="G4" s="17">
        <v>13</v>
      </c>
      <c r="H4" s="17">
        <v>13</v>
      </c>
      <c r="I4" s="17">
        <v>13</v>
      </c>
    </row>
    <row r="5" spans="1:20" ht="18.75" x14ac:dyDescent="0.3">
      <c r="A5" s="16" t="s">
        <v>13</v>
      </c>
      <c r="B5" s="10" t="s">
        <v>15</v>
      </c>
      <c r="C5" s="17">
        <v>8</v>
      </c>
      <c r="D5" s="17">
        <v>8</v>
      </c>
      <c r="E5" s="17">
        <v>8</v>
      </c>
      <c r="F5" s="17">
        <v>8</v>
      </c>
      <c r="G5" s="17">
        <v>8</v>
      </c>
      <c r="H5" s="17">
        <v>8</v>
      </c>
      <c r="I5" s="17">
        <v>8</v>
      </c>
    </row>
    <row r="6" spans="1:20" ht="18.75" x14ac:dyDescent="0.3">
      <c r="A6" s="16" t="s">
        <v>16</v>
      </c>
      <c r="B6" s="10" t="s">
        <v>18</v>
      </c>
      <c r="C6" s="17">
        <v>3</v>
      </c>
      <c r="D6" s="17">
        <v>5</v>
      </c>
      <c r="E6" s="17">
        <v>3</v>
      </c>
      <c r="F6" s="17">
        <v>5</v>
      </c>
      <c r="G6" s="17">
        <v>5</v>
      </c>
      <c r="H6" s="17">
        <v>5</v>
      </c>
      <c r="I6" s="17">
        <v>5</v>
      </c>
      <c r="J6" s="1"/>
      <c r="K6" s="1"/>
      <c r="L6" s="1"/>
      <c r="M6" s="1"/>
    </row>
    <row r="7" spans="1:20" ht="18.75" x14ac:dyDescent="0.3">
      <c r="A7" s="16" t="s">
        <v>19</v>
      </c>
      <c r="B7" s="10" t="s">
        <v>20</v>
      </c>
      <c r="C7" s="17">
        <v>12</v>
      </c>
      <c r="D7" s="17">
        <v>6</v>
      </c>
      <c r="E7" s="17">
        <v>7</v>
      </c>
      <c r="F7" s="17">
        <v>5</v>
      </c>
      <c r="G7" s="17">
        <v>5</v>
      </c>
      <c r="H7" s="17">
        <v>5</v>
      </c>
      <c r="I7" s="17">
        <v>5</v>
      </c>
    </row>
    <row r="8" spans="1:20" ht="18.75" x14ac:dyDescent="0.3">
      <c r="A8" s="16" t="s">
        <v>21</v>
      </c>
      <c r="B8" s="10" t="s">
        <v>22</v>
      </c>
      <c r="C8" s="17">
        <v>8</v>
      </c>
      <c r="D8" s="17">
        <v>8</v>
      </c>
      <c r="E8" s="17">
        <v>8</v>
      </c>
      <c r="F8" s="17">
        <v>8</v>
      </c>
      <c r="G8" s="17">
        <v>8</v>
      </c>
      <c r="H8" s="17">
        <v>8</v>
      </c>
      <c r="I8" s="17">
        <v>8</v>
      </c>
    </row>
    <row r="9" spans="1:20" ht="18.75" x14ac:dyDescent="0.3">
      <c r="A9" s="16" t="s">
        <v>23</v>
      </c>
      <c r="B9" s="10" t="s">
        <v>24</v>
      </c>
      <c r="C9" s="17">
        <v>3</v>
      </c>
      <c r="D9" s="17">
        <v>3</v>
      </c>
      <c r="E9" s="17">
        <v>8</v>
      </c>
      <c r="F9" s="17">
        <v>5</v>
      </c>
      <c r="G9" s="17">
        <v>5</v>
      </c>
      <c r="H9" s="17">
        <v>5</v>
      </c>
      <c r="I9" s="17">
        <v>5</v>
      </c>
    </row>
    <row r="10" spans="1:20" ht="18.75" x14ac:dyDescent="0.3">
      <c r="A10" s="16" t="s">
        <v>25</v>
      </c>
      <c r="B10" s="10" t="s">
        <v>26</v>
      </c>
      <c r="C10" s="11">
        <v>8</v>
      </c>
      <c r="D10" s="11">
        <v>8</v>
      </c>
      <c r="E10" s="11">
        <v>8</v>
      </c>
      <c r="F10" s="11">
        <v>8</v>
      </c>
      <c r="G10" s="11">
        <v>8</v>
      </c>
      <c r="H10" s="11">
        <v>8</v>
      </c>
      <c r="I10" s="11">
        <v>8</v>
      </c>
    </row>
    <row r="11" spans="1:20" ht="18.75" x14ac:dyDescent="0.3">
      <c r="A11" s="1"/>
      <c r="B11" s="1"/>
      <c r="C11" s="1"/>
      <c r="D11" s="1"/>
      <c r="E11" s="1"/>
      <c r="F11" s="1"/>
      <c r="G11" s="1"/>
      <c r="H11" s="1"/>
      <c r="I11" s="1"/>
      <c r="N11" s="1"/>
      <c r="R11" s="1"/>
      <c r="S11" s="1"/>
      <c r="T11" s="1"/>
    </row>
    <row r="12" spans="1:20" ht="18.7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R12" s="1"/>
      <c r="S12" s="1"/>
      <c r="T12" s="1"/>
    </row>
    <row r="13" spans="1:20" ht="18.75" x14ac:dyDescent="0.3">
      <c r="A13" s="2" t="s">
        <v>27</v>
      </c>
      <c r="B13" s="3"/>
      <c r="C13" s="3"/>
      <c r="D13" s="3"/>
      <c r="E13" s="3"/>
      <c r="F13" s="1"/>
      <c r="G13" s="4" t="s">
        <v>5</v>
      </c>
      <c r="H13" s="5" t="s">
        <v>32</v>
      </c>
      <c r="I13" s="5" t="s">
        <v>33</v>
      </c>
      <c r="J13" s="5" t="s">
        <v>34</v>
      </c>
      <c r="K13" s="4" t="s">
        <v>6</v>
      </c>
      <c r="L13" s="4" t="s">
        <v>6</v>
      </c>
      <c r="M13" s="6">
        <v>1</v>
      </c>
      <c r="R13" s="1"/>
      <c r="S13" s="1"/>
      <c r="T13" s="1"/>
    </row>
    <row r="14" spans="1:20" ht="18.75" x14ac:dyDescent="0.3">
      <c r="A14" s="8" t="s">
        <v>7</v>
      </c>
      <c r="B14" s="5" t="s">
        <v>8</v>
      </c>
      <c r="C14" s="5" t="s">
        <v>32</v>
      </c>
      <c r="D14" s="5" t="s">
        <v>33</v>
      </c>
      <c r="E14" s="5" t="s">
        <v>34</v>
      </c>
      <c r="F14" s="1"/>
      <c r="G14" s="7" t="s">
        <v>10</v>
      </c>
      <c r="H14" s="6">
        <v>0</v>
      </c>
      <c r="I14" s="6">
        <v>0</v>
      </c>
      <c r="J14" s="6">
        <v>0.99999999999999989</v>
      </c>
      <c r="K14" s="6">
        <f t="shared" ref="K14:K20" si="0">SUM(H14:J14)</f>
        <v>0.99999999999999989</v>
      </c>
      <c r="L14" s="4" t="s">
        <v>11</v>
      </c>
      <c r="M14" s="6">
        <f>SUMPRODUCT(H14:J20, F4:H10)</f>
        <v>52</v>
      </c>
      <c r="R14" s="1"/>
      <c r="S14" s="1"/>
      <c r="T14" s="1"/>
    </row>
    <row r="15" spans="1:20" ht="18.75" x14ac:dyDescent="0.3">
      <c r="A15" s="9" t="s">
        <v>10</v>
      </c>
      <c r="B15" s="10" t="s">
        <v>12</v>
      </c>
      <c r="C15" s="11">
        <v>1</v>
      </c>
      <c r="D15" s="11">
        <v>2</v>
      </c>
      <c r="E15" s="11">
        <v>3</v>
      </c>
      <c r="F15" s="1"/>
      <c r="G15" s="7" t="s">
        <v>13</v>
      </c>
      <c r="H15" s="6">
        <v>1</v>
      </c>
      <c r="I15" s="6">
        <v>0</v>
      </c>
      <c r="J15" s="6">
        <v>0</v>
      </c>
      <c r="K15" s="6">
        <f t="shared" si="0"/>
        <v>1</v>
      </c>
      <c r="L15" s="4" t="s">
        <v>14</v>
      </c>
      <c r="M15" s="6">
        <f>SUMPRODUCT(H14:J20, C15:E21)</f>
        <v>42</v>
      </c>
      <c r="R15" s="1"/>
      <c r="S15" s="1"/>
      <c r="T15" s="1"/>
    </row>
    <row r="16" spans="1:20" ht="18.75" x14ac:dyDescent="0.3">
      <c r="A16" s="9" t="s">
        <v>13</v>
      </c>
      <c r="B16" s="10" t="s">
        <v>15</v>
      </c>
      <c r="C16" s="11">
        <v>4</v>
      </c>
      <c r="D16" s="11">
        <v>1</v>
      </c>
      <c r="E16" s="11">
        <v>3</v>
      </c>
      <c r="F16" s="1"/>
      <c r="G16" s="7" t="s">
        <v>16</v>
      </c>
      <c r="H16" s="6">
        <v>0</v>
      </c>
      <c r="I16" s="6">
        <v>1</v>
      </c>
      <c r="J16" s="6">
        <v>0</v>
      </c>
      <c r="K16" s="6">
        <f t="shared" si="0"/>
        <v>1</v>
      </c>
      <c r="L16" s="4" t="s">
        <v>17</v>
      </c>
      <c r="M16" s="6">
        <v>20</v>
      </c>
      <c r="O16" s="1"/>
      <c r="P16" s="1"/>
      <c r="Q16" s="1"/>
      <c r="R16" s="1"/>
      <c r="S16" s="1"/>
      <c r="T16" s="1"/>
    </row>
    <row r="17" spans="1:20" ht="18.75" x14ac:dyDescent="0.3">
      <c r="A17" s="9" t="s">
        <v>16</v>
      </c>
      <c r="B17" s="10" t="s">
        <v>18</v>
      </c>
      <c r="C17" s="11">
        <v>5</v>
      </c>
      <c r="D17" s="11">
        <v>8</v>
      </c>
      <c r="E17" s="11">
        <v>1</v>
      </c>
      <c r="F17" s="1"/>
      <c r="G17" s="7" t="s">
        <v>19</v>
      </c>
      <c r="H17" s="6">
        <v>0</v>
      </c>
      <c r="I17" s="6">
        <v>0</v>
      </c>
      <c r="J17" s="6">
        <v>1</v>
      </c>
      <c r="K17" s="6">
        <f t="shared" si="0"/>
        <v>1</v>
      </c>
      <c r="L17" s="6"/>
      <c r="M17" s="6"/>
      <c r="R17" s="1"/>
      <c r="S17" s="1"/>
      <c r="T17" s="1"/>
    </row>
    <row r="18" spans="1:20" ht="18.75" x14ac:dyDescent="0.3">
      <c r="A18" s="9" t="s">
        <v>19</v>
      </c>
      <c r="B18" s="10" t="s">
        <v>20</v>
      </c>
      <c r="C18" s="11">
        <v>3</v>
      </c>
      <c r="D18" s="11">
        <v>8</v>
      </c>
      <c r="E18" s="11">
        <v>7</v>
      </c>
      <c r="F18" s="1"/>
      <c r="G18" s="7" t="s">
        <v>21</v>
      </c>
      <c r="H18" s="6">
        <v>1</v>
      </c>
      <c r="I18" s="6">
        <v>0</v>
      </c>
      <c r="J18" s="6">
        <v>0</v>
      </c>
      <c r="K18" s="6">
        <f t="shared" si="0"/>
        <v>1</v>
      </c>
      <c r="L18" s="6"/>
      <c r="M18" s="6"/>
      <c r="R18" s="1"/>
      <c r="S18" s="1"/>
      <c r="T18" s="1"/>
    </row>
    <row r="19" spans="1:20" ht="18.75" x14ac:dyDescent="0.3">
      <c r="A19" s="9" t="s">
        <v>21</v>
      </c>
      <c r="B19" s="10" t="s">
        <v>22</v>
      </c>
      <c r="C19" s="11">
        <v>8</v>
      </c>
      <c r="D19" s="11">
        <v>1</v>
      </c>
      <c r="E19" s="11">
        <v>5</v>
      </c>
      <c r="F19" s="1"/>
      <c r="G19" s="7" t="s">
        <v>23</v>
      </c>
      <c r="H19" s="6">
        <v>0</v>
      </c>
      <c r="I19" s="6">
        <v>1</v>
      </c>
      <c r="J19" s="6">
        <v>0</v>
      </c>
      <c r="K19" s="6">
        <f t="shared" si="0"/>
        <v>1</v>
      </c>
      <c r="L19" s="6"/>
      <c r="M19" s="6"/>
      <c r="R19" s="1"/>
      <c r="S19" s="1"/>
      <c r="T19" s="1"/>
    </row>
    <row r="20" spans="1:20" ht="18.75" x14ac:dyDescent="0.3">
      <c r="A20" s="9" t="s">
        <v>23</v>
      </c>
      <c r="B20" s="10" t="s">
        <v>24</v>
      </c>
      <c r="C20" s="11">
        <v>4</v>
      </c>
      <c r="D20" s="11">
        <v>8</v>
      </c>
      <c r="E20" s="11">
        <v>1</v>
      </c>
      <c r="F20" s="1"/>
      <c r="G20" s="7" t="s">
        <v>25</v>
      </c>
      <c r="H20" s="6">
        <v>0</v>
      </c>
      <c r="I20" s="6">
        <v>1</v>
      </c>
      <c r="J20" s="6">
        <v>0</v>
      </c>
      <c r="K20" s="6">
        <f t="shared" si="0"/>
        <v>1</v>
      </c>
      <c r="L20" s="6"/>
      <c r="M20" s="6"/>
      <c r="R20" s="1"/>
      <c r="S20" s="1"/>
      <c r="T20" s="1"/>
    </row>
    <row r="21" spans="1:20" ht="18.75" x14ac:dyDescent="0.3">
      <c r="A21" s="9" t="s">
        <v>25</v>
      </c>
      <c r="B21" s="10" t="s">
        <v>26</v>
      </c>
      <c r="C21" s="11">
        <v>3</v>
      </c>
      <c r="D21" s="11">
        <v>4</v>
      </c>
      <c r="E21" s="11">
        <v>1</v>
      </c>
      <c r="F21" s="1"/>
      <c r="G21" s="6"/>
      <c r="H21" s="6">
        <f t="shared" ref="H21:J21" si="1">SUMPRODUCT(H14:H20,$I$4:$I$10)</f>
        <v>16</v>
      </c>
      <c r="I21" s="6">
        <f t="shared" si="1"/>
        <v>18</v>
      </c>
      <c r="J21" s="6">
        <f t="shared" si="1"/>
        <v>18</v>
      </c>
      <c r="K21" s="6"/>
      <c r="L21" s="6"/>
      <c r="M21" s="6"/>
      <c r="R21" s="1"/>
      <c r="S21" s="1"/>
      <c r="T21" s="1"/>
    </row>
    <row r="22" spans="1:20" ht="18.7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R22" s="1"/>
      <c r="S22" s="1"/>
      <c r="T22" s="1"/>
    </row>
    <row r="23" spans="1:20" ht="18.7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R23" s="1"/>
      <c r="S23" s="1"/>
      <c r="T23" s="1"/>
    </row>
    <row r="24" spans="1:20" ht="18.7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8.75" x14ac:dyDescent="0.3">
      <c r="A25" s="14" t="s">
        <v>28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"/>
      <c r="M25" s="1"/>
      <c r="N25" s="1"/>
      <c r="O25" s="1"/>
      <c r="P25" s="1"/>
      <c r="Q25" s="1"/>
      <c r="R25" s="1"/>
      <c r="S25" s="1"/>
      <c r="T25" s="1"/>
    </row>
    <row r="26" spans="1:20" ht="18.75" x14ac:dyDescent="0.3">
      <c r="A26" s="5" t="s">
        <v>7</v>
      </c>
      <c r="B26" s="5" t="s">
        <v>29</v>
      </c>
      <c r="C26" s="18" t="s">
        <v>8</v>
      </c>
      <c r="D26" s="13"/>
      <c r="E26" s="13"/>
      <c r="F26" s="13"/>
      <c r="G26" s="13"/>
      <c r="H26" s="13"/>
      <c r="I26" s="13"/>
      <c r="J26" s="13"/>
      <c r="K26" s="13"/>
      <c r="L26" s="1"/>
      <c r="M26" s="1"/>
      <c r="N26" s="1"/>
      <c r="O26" s="1"/>
      <c r="P26" s="1"/>
      <c r="Q26" s="1"/>
      <c r="R26" s="1"/>
      <c r="S26" s="1"/>
      <c r="T26" s="1"/>
    </row>
    <row r="27" spans="1:20" ht="18.75" x14ac:dyDescent="0.3">
      <c r="A27" s="16">
        <v>1</v>
      </c>
      <c r="B27" s="11" t="s">
        <v>32</v>
      </c>
      <c r="C27" s="19" t="s">
        <v>30</v>
      </c>
      <c r="D27" s="13"/>
      <c r="E27" s="13"/>
      <c r="F27" s="13"/>
      <c r="G27" s="13"/>
      <c r="H27" s="13"/>
      <c r="I27" s="13"/>
      <c r="J27" s="13"/>
      <c r="K27" s="13"/>
      <c r="L27" s="1"/>
      <c r="M27" s="1"/>
      <c r="N27" s="1"/>
      <c r="O27" s="1"/>
      <c r="P27" s="1"/>
      <c r="Q27" s="1"/>
      <c r="R27" s="1"/>
      <c r="S27" s="1"/>
      <c r="T27" s="1"/>
    </row>
    <row r="28" spans="1:20" ht="18.75" x14ac:dyDescent="0.3">
      <c r="A28" s="16">
        <v>2</v>
      </c>
      <c r="B28" s="11" t="s">
        <v>33</v>
      </c>
      <c r="C28" s="19" t="s">
        <v>35</v>
      </c>
      <c r="D28" s="13"/>
      <c r="E28" s="13"/>
      <c r="F28" s="13"/>
      <c r="G28" s="13"/>
      <c r="H28" s="13"/>
      <c r="I28" s="13"/>
      <c r="J28" s="13"/>
      <c r="K28" s="13"/>
      <c r="L28" s="1"/>
      <c r="M28" s="1"/>
      <c r="N28" s="1"/>
      <c r="O28" s="1"/>
      <c r="P28" s="1"/>
      <c r="Q28" s="1"/>
      <c r="R28" s="1"/>
      <c r="S28" s="1"/>
      <c r="T28" s="1"/>
    </row>
    <row r="29" spans="1:20" ht="18.75" x14ac:dyDescent="0.3">
      <c r="A29" s="16">
        <v>3</v>
      </c>
      <c r="B29" s="11" t="s">
        <v>34</v>
      </c>
      <c r="C29" s="19" t="s">
        <v>31</v>
      </c>
      <c r="D29" s="13"/>
      <c r="E29" s="13"/>
      <c r="F29" s="13"/>
      <c r="G29" s="13"/>
      <c r="H29" s="13"/>
      <c r="I29" s="13"/>
      <c r="J29" s="13"/>
      <c r="K29" s="13"/>
      <c r="L29" s="1"/>
      <c r="M29" s="1"/>
      <c r="N29" s="1"/>
      <c r="O29" s="1"/>
      <c r="P29" s="1"/>
      <c r="Q29" s="1"/>
      <c r="R29" s="1"/>
      <c r="S29" s="1"/>
      <c r="T29" s="1"/>
    </row>
    <row r="30" spans="1:20" ht="18.7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8.7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8.7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</sheetData>
  <mergeCells count="10">
    <mergeCell ref="C26:K26"/>
    <mergeCell ref="C27:K27"/>
    <mergeCell ref="C28:K28"/>
    <mergeCell ref="C29:K29"/>
    <mergeCell ref="A1:I1"/>
    <mergeCell ref="A2:B2"/>
    <mergeCell ref="C2:E2"/>
    <mergeCell ref="F2:H2"/>
    <mergeCell ref="A13:E13"/>
    <mergeCell ref="A25:K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</dc:creator>
  <cp:lastModifiedBy>Денис Бражников</cp:lastModifiedBy>
  <dcterms:created xsi:type="dcterms:W3CDTF">2015-06-05T18:17:20Z</dcterms:created>
  <dcterms:modified xsi:type="dcterms:W3CDTF">2025-12-25T21:46:25Z</dcterms:modified>
</cp:coreProperties>
</file>