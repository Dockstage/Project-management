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y\VSU\Master\Semester_1\ProjectManagement\Phase_1\"/>
    </mc:Choice>
  </mc:AlternateContent>
  <xr:revisionPtr revIDLastSave="0" documentId="13_ncr:1_{FF106BC2-50FD-454C-B166-690F3AD757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T43" i="1" l="1"/>
  <c r="M43" i="1"/>
  <c r="F43" i="1"/>
  <c r="T42" i="1"/>
  <c r="M42" i="1"/>
  <c r="F42" i="1"/>
  <c r="T41" i="1"/>
  <c r="M41" i="1"/>
  <c r="F41" i="1"/>
  <c r="T40" i="1"/>
  <c r="M40" i="1"/>
  <c r="F40" i="1"/>
  <c r="T39" i="1"/>
  <c r="M39" i="1"/>
  <c r="F39" i="1"/>
  <c r="T38" i="1"/>
  <c r="M38" i="1"/>
  <c r="F38" i="1"/>
  <c r="T37" i="1"/>
  <c r="M37" i="1"/>
  <c r="F37" i="1"/>
  <c r="T36" i="1"/>
  <c r="M36" i="1"/>
  <c r="F36" i="1"/>
  <c r="T35" i="1"/>
  <c r="M35" i="1"/>
  <c r="F35" i="1"/>
  <c r="T34" i="1"/>
  <c r="M34" i="1"/>
  <c r="F34" i="1"/>
  <c r="T33" i="1"/>
  <c r="M33" i="1"/>
  <c r="F33" i="1"/>
  <c r="T32" i="1"/>
  <c r="M32" i="1"/>
  <c r="F32" i="1"/>
  <c r="T31" i="1"/>
  <c r="M31" i="1"/>
  <c r="F31" i="1"/>
  <c r="T30" i="1"/>
  <c r="M30" i="1"/>
  <c r="F30" i="1"/>
  <c r="T29" i="1"/>
  <c r="M29" i="1"/>
  <c r="F29" i="1"/>
  <c r="T28" i="1"/>
  <c r="M28" i="1"/>
  <c r="F28" i="1"/>
  <c r="T27" i="1"/>
  <c r="M27" i="1"/>
  <c r="F27" i="1"/>
  <c r="T26" i="1"/>
  <c r="M26" i="1"/>
  <c r="F26" i="1"/>
  <c r="T25" i="1"/>
  <c r="M25" i="1"/>
  <c r="F25" i="1"/>
  <c r="T24" i="1"/>
  <c r="M24" i="1"/>
  <c r="F24" i="1"/>
  <c r="T23" i="1"/>
  <c r="M23" i="1"/>
  <c r="F23" i="1"/>
  <c r="T22" i="1"/>
  <c r="M22" i="1"/>
  <c r="F22" i="1"/>
  <c r="T21" i="1"/>
  <c r="M21" i="1"/>
  <c r="F21" i="1"/>
  <c r="T20" i="1"/>
  <c r="M20" i="1"/>
  <c r="F20" i="1"/>
  <c r="T19" i="1"/>
  <c r="M19" i="1"/>
  <c r="F19" i="1"/>
</calcChain>
</file>

<file path=xl/sharedStrings.xml><?xml version="1.0" encoding="utf-8"?>
<sst xmlns="http://schemas.openxmlformats.org/spreadsheetml/2006/main" count="64" uniqueCount="37">
  <si>
    <t>Концепции</t>
  </si>
  <si>
    <t>Эксперты</t>
  </si>
  <si>
    <t>A</t>
  </si>
  <si>
    <t>SmartLocker - система управления умным офисным шкафчиком для сотрудников</t>
  </si>
  <si>
    <t>Асатрян Гагик</t>
  </si>
  <si>
    <t>B</t>
  </si>
  <si>
    <t>Менеджер продуктов для дома</t>
  </si>
  <si>
    <t>Бражников Денис</t>
  </si>
  <si>
    <t>C</t>
  </si>
  <si>
    <t>Mini-CRM для фрилансера</t>
  </si>
  <si>
    <t>Свиридов Данила</t>
  </si>
  <si>
    <t>D</t>
  </si>
  <si>
    <t>Управление домашней библиотекой</t>
  </si>
  <si>
    <t>E</t>
  </si>
  <si>
    <t>Аггрегатор инвест новостей для анализа компаний</t>
  </si>
  <si>
    <t>Критерии</t>
  </si>
  <si>
    <t>Шакала оценки</t>
  </si>
  <si>
    <t>Сложность реализации</t>
  </si>
  <si>
    <t>1(легко)-100(невозможно)</t>
  </si>
  <si>
    <t>Размер рынка</t>
  </si>
  <si>
    <t>1(отсутствует)-100(все население)</t>
  </si>
  <si>
    <t>1(менее дня)-100(больше века)</t>
  </si>
  <si>
    <t>Затраты на разработку</t>
  </si>
  <si>
    <t>1(бесплатно)-100(очень много)</t>
  </si>
  <si>
    <t>Пользовательская ценность</t>
  </si>
  <si>
    <t>1(не закрывает ни одной)-100(закрывает все потребности)</t>
  </si>
  <si>
    <t>ЭТАП 1</t>
  </si>
  <si>
    <t>Эксперт 1</t>
  </si>
  <si>
    <t>Эксперт 3</t>
  </si>
  <si>
    <t>Концепция</t>
  </si>
  <si>
    <t>Критерий</t>
  </si>
  <si>
    <t>Пессимистичная оценка</t>
  </si>
  <si>
    <t>Ожидаемая оценка</t>
  </si>
  <si>
    <t>Оптимистичная оценка</t>
  </si>
  <si>
    <t>Итоговая оценка</t>
  </si>
  <si>
    <t>Эксперт 2</t>
  </si>
  <si>
    <t>Время на разработку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</si>
</sst>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b/>
      <sz val="21"/>
      <color theme="1"/>
      <name val="Arial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4" fillId="0" borderId="0" xfId="0" applyFont="1" applyAlignment="1">
      <alignment horizontal="center" vertical="center"/>
    </xf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1" fillId="0" borderId="0" xfId="0" applyFont="1" applyAlignment="1">
      <alignment horizontal="center"/>
    </xf>
    <xf numFmtId="0" fontId="2" fillId="0" borderId="1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3"/>
  <sheetViews>
    <sheetView tabSelected="1" topLeftCell="A5" zoomScale="67" zoomScaleNormal="100" workbookViewId="0">
      <selection activeCell="P48" sqref="P48"/>
    </sheetView>
  </sheetViews>
  <sheetFormatPr defaultColWidth="12.6640625" defaultRowHeight="15.75" customHeight="1" x14ac:dyDescent="0.25"/>
  <cols>
    <col min="2" max="2" width="24.21875" customWidth="1"/>
    <col min="3" max="3" width="18" customWidth="1"/>
    <col min="7" max="7" width="15.6640625" customWidth="1"/>
  </cols>
  <sheetData>
    <row r="1" spans="1:11" ht="13.2" x14ac:dyDescent="0.25">
      <c r="A1" s="1" t="s">
        <v>0</v>
      </c>
      <c r="G1" s="1" t="s">
        <v>1</v>
      </c>
    </row>
    <row r="2" spans="1:11" ht="13.2" x14ac:dyDescent="0.25">
      <c r="A2" s="2" t="s">
        <v>2</v>
      </c>
      <c r="B2" s="2" t="s">
        <v>3</v>
      </c>
      <c r="G2" s="3" t="s">
        <v>4</v>
      </c>
      <c r="H2" s="2">
        <v>1</v>
      </c>
    </row>
    <row r="3" spans="1:11" ht="13.2" x14ac:dyDescent="0.25">
      <c r="A3" s="2" t="s">
        <v>5</v>
      </c>
      <c r="B3" s="2" t="s">
        <v>6</v>
      </c>
      <c r="G3" s="3" t="s">
        <v>7</v>
      </c>
      <c r="H3" s="2">
        <v>2</v>
      </c>
    </row>
    <row r="4" spans="1:11" ht="13.2" x14ac:dyDescent="0.25">
      <c r="A4" s="2" t="s">
        <v>8</v>
      </c>
      <c r="B4" s="2" t="s">
        <v>9</v>
      </c>
      <c r="G4" s="3" t="s">
        <v>10</v>
      </c>
      <c r="H4" s="2">
        <v>3</v>
      </c>
    </row>
    <row r="5" spans="1:11" ht="13.2" x14ac:dyDescent="0.25">
      <c r="A5" s="2" t="s">
        <v>11</v>
      </c>
      <c r="B5" s="2" t="s">
        <v>12</v>
      </c>
    </row>
    <row r="6" spans="1:11" ht="13.2" x14ac:dyDescent="0.25">
      <c r="A6" s="2" t="s">
        <v>13</v>
      </c>
      <c r="B6" s="2" t="s">
        <v>14</v>
      </c>
    </row>
    <row r="8" spans="1:11" ht="13.2" x14ac:dyDescent="0.25">
      <c r="A8" s="1" t="s">
        <v>15</v>
      </c>
      <c r="C8" s="1" t="s">
        <v>16</v>
      </c>
    </row>
    <row r="9" spans="1:11" ht="13.2" x14ac:dyDescent="0.25">
      <c r="A9" s="2">
        <v>1</v>
      </c>
      <c r="B9" s="2" t="s">
        <v>17</v>
      </c>
      <c r="C9" s="2" t="s">
        <v>18</v>
      </c>
    </row>
    <row r="10" spans="1:11" ht="13.2" x14ac:dyDescent="0.25">
      <c r="A10" s="2">
        <v>2</v>
      </c>
      <c r="B10" s="2" t="s">
        <v>19</v>
      </c>
      <c r="C10" s="2" t="s">
        <v>20</v>
      </c>
    </row>
    <row r="11" spans="1:11" ht="13.2" x14ac:dyDescent="0.25">
      <c r="A11" s="2">
        <v>3</v>
      </c>
      <c r="B11" s="2" t="s">
        <v>36</v>
      </c>
      <c r="C11" s="2" t="s">
        <v>21</v>
      </c>
    </row>
    <row r="12" spans="1:11" ht="13.2" x14ac:dyDescent="0.25">
      <c r="A12" s="2">
        <v>4</v>
      </c>
      <c r="B12" s="2" t="s">
        <v>22</v>
      </c>
      <c r="C12" s="2" t="s">
        <v>23</v>
      </c>
    </row>
    <row r="13" spans="1:11" ht="13.2" x14ac:dyDescent="0.25">
      <c r="A13" s="2">
        <v>5</v>
      </c>
      <c r="B13" s="2" t="s">
        <v>24</v>
      </c>
      <c r="C13" s="2" t="s">
        <v>25</v>
      </c>
    </row>
    <row r="16" spans="1:11" ht="33.75" customHeight="1" x14ac:dyDescent="0.25">
      <c r="A16" s="13" t="s">
        <v>26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20" ht="13.2" x14ac:dyDescent="0.25">
      <c r="A17" s="18" t="s">
        <v>27</v>
      </c>
      <c r="B17" s="14"/>
      <c r="C17" s="14"/>
      <c r="D17" s="14"/>
      <c r="E17" s="14"/>
      <c r="F17" s="14"/>
      <c r="H17" s="18" t="s">
        <v>35</v>
      </c>
      <c r="I17" s="14"/>
      <c r="J17" s="14"/>
      <c r="K17" s="14"/>
      <c r="L17" s="14"/>
      <c r="M17" s="14"/>
      <c r="O17" s="18" t="s">
        <v>28</v>
      </c>
      <c r="P17" s="14"/>
      <c r="Q17" s="14"/>
      <c r="R17" s="14"/>
      <c r="S17" s="14"/>
      <c r="T17" s="14"/>
    </row>
    <row r="18" spans="1:20" ht="26.4" x14ac:dyDescent="0.25">
      <c r="A18" s="4" t="s">
        <v>29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34</v>
      </c>
      <c r="H18" s="4" t="s">
        <v>29</v>
      </c>
      <c r="I18" s="4" t="s">
        <v>30</v>
      </c>
      <c r="J18" s="4" t="s">
        <v>31</v>
      </c>
      <c r="K18" s="4" t="s">
        <v>32</v>
      </c>
      <c r="L18" s="4" t="s">
        <v>33</v>
      </c>
      <c r="M18" s="4" t="s">
        <v>34</v>
      </c>
      <c r="O18" s="4" t="s">
        <v>29</v>
      </c>
      <c r="P18" s="4" t="s">
        <v>30</v>
      </c>
      <c r="Q18" s="4" t="s">
        <v>31</v>
      </c>
      <c r="R18" s="4" t="s">
        <v>32</v>
      </c>
      <c r="S18" s="4" t="s">
        <v>33</v>
      </c>
      <c r="T18" s="4" t="s">
        <v>34</v>
      </c>
    </row>
    <row r="19" spans="1:20" ht="13.2" x14ac:dyDescent="0.25">
      <c r="A19" s="15" t="s">
        <v>2</v>
      </c>
      <c r="B19" s="5">
        <v>1</v>
      </c>
      <c r="C19" s="6">
        <v>70</v>
      </c>
      <c r="D19" s="6">
        <v>60</v>
      </c>
      <c r="E19" s="6">
        <v>45</v>
      </c>
      <c r="F19" s="7">
        <f t="shared" ref="F19:F43" si="0">(C19+D19*4+E19)/6</f>
        <v>59.166666666666664</v>
      </c>
      <c r="H19" s="15" t="s">
        <v>2</v>
      </c>
      <c r="I19" s="5">
        <v>1</v>
      </c>
      <c r="J19" s="6">
        <v>70</v>
      </c>
      <c r="K19" s="6">
        <v>55</v>
      </c>
      <c r="L19" s="6">
        <v>40</v>
      </c>
      <c r="M19" s="8">
        <f t="shared" ref="M19:M43" si="1">(J19+K19*4+L19)/6</f>
        <v>55</v>
      </c>
      <c r="O19" s="15" t="s">
        <v>2</v>
      </c>
      <c r="P19" s="5">
        <v>1</v>
      </c>
      <c r="Q19" s="6"/>
      <c r="R19" s="6"/>
      <c r="S19" s="6"/>
      <c r="T19" s="8">
        <f t="shared" ref="T19:T43" si="2">(Q19+R19*4+S19)/6</f>
        <v>0</v>
      </c>
    </row>
    <row r="20" spans="1:20" ht="13.2" x14ac:dyDescent="0.25">
      <c r="A20" s="16"/>
      <c r="B20" s="9">
        <v>2</v>
      </c>
      <c r="C20">
        <v>40</v>
      </c>
      <c r="D20">
        <v>55</v>
      </c>
      <c r="E20">
        <v>70</v>
      </c>
      <c r="F20" s="7">
        <f t="shared" si="0"/>
        <v>55</v>
      </c>
      <c r="H20" s="16"/>
      <c r="I20" s="9">
        <v>2</v>
      </c>
      <c r="J20" s="2">
        <v>20</v>
      </c>
      <c r="K20" s="2">
        <v>35</v>
      </c>
      <c r="L20" s="2">
        <v>45</v>
      </c>
      <c r="M20" s="7">
        <f t="shared" si="1"/>
        <v>34.166666666666664</v>
      </c>
      <c r="O20" s="16"/>
      <c r="P20" s="9">
        <v>2</v>
      </c>
      <c r="T20" s="8">
        <f t="shared" si="2"/>
        <v>0</v>
      </c>
    </row>
    <row r="21" spans="1:20" ht="13.2" x14ac:dyDescent="0.25">
      <c r="A21" s="16"/>
      <c r="B21" s="9">
        <v>3</v>
      </c>
      <c r="C21">
        <v>80</v>
      </c>
      <c r="D21">
        <v>65</v>
      </c>
      <c r="E21">
        <v>50</v>
      </c>
      <c r="F21" s="7">
        <f t="shared" si="0"/>
        <v>65</v>
      </c>
      <c r="H21" s="16"/>
      <c r="I21" s="9">
        <v>3</v>
      </c>
      <c r="J21" s="2">
        <v>65</v>
      </c>
      <c r="K21" s="2">
        <v>45</v>
      </c>
      <c r="L21" s="2">
        <v>30</v>
      </c>
      <c r="M21" s="7">
        <f t="shared" si="1"/>
        <v>45.833333333333336</v>
      </c>
      <c r="O21" s="16"/>
      <c r="P21" s="9">
        <v>3</v>
      </c>
      <c r="T21" s="8">
        <f t="shared" si="2"/>
        <v>0</v>
      </c>
    </row>
    <row r="22" spans="1:20" ht="13.2" x14ac:dyDescent="0.25">
      <c r="A22" s="16"/>
      <c r="B22" s="9">
        <v>4</v>
      </c>
      <c r="C22">
        <v>85</v>
      </c>
      <c r="D22">
        <v>70</v>
      </c>
      <c r="E22">
        <v>55</v>
      </c>
      <c r="F22" s="7">
        <f t="shared" si="0"/>
        <v>70</v>
      </c>
      <c r="H22" s="16"/>
      <c r="I22" s="9">
        <v>4</v>
      </c>
      <c r="J22" s="2">
        <v>70</v>
      </c>
      <c r="K22" s="2">
        <v>55</v>
      </c>
      <c r="L22" s="2">
        <v>40</v>
      </c>
      <c r="M22" s="7">
        <f t="shared" si="1"/>
        <v>55</v>
      </c>
      <c r="O22" s="16"/>
      <c r="P22" s="9">
        <v>4</v>
      </c>
      <c r="T22" s="8">
        <f t="shared" si="2"/>
        <v>0</v>
      </c>
    </row>
    <row r="23" spans="1:20" ht="13.2" x14ac:dyDescent="0.25">
      <c r="A23" s="17"/>
      <c r="B23" s="10">
        <v>5</v>
      </c>
      <c r="C23" s="11">
        <v>60</v>
      </c>
      <c r="D23" s="11">
        <v>75</v>
      </c>
      <c r="E23" s="11">
        <v>90</v>
      </c>
      <c r="F23" s="12">
        <f t="shared" si="0"/>
        <v>75</v>
      </c>
      <c r="H23" s="17"/>
      <c r="I23" s="10">
        <v>5</v>
      </c>
      <c r="J23" s="11">
        <v>35</v>
      </c>
      <c r="K23" s="11">
        <v>55</v>
      </c>
      <c r="L23" s="11">
        <v>65</v>
      </c>
      <c r="M23" s="12">
        <f t="shared" si="1"/>
        <v>53.333333333333336</v>
      </c>
      <c r="O23" s="17"/>
      <c r="P23" s="10">
        <v>5</v>
      </c>
      <c r="Q23" s="11"/>
      <c r="R23" s="11"/>
      <c r="S23" s="11"/>
      <c r="T23" s="8">
        <f t="shared" si="2"/>
        <v>0</v>
      </c>
    </row>
    <row r="24" spans="1:20" ht="13.2" x14ac:dyDescent="0.25">
      <c r="A24" s="15" t="s">
        <v>5</v>
      </c>
      <c r="B24" s="5">
        <v>1</v>
      </c>
      <c r="C24" s="6">
        <v>35</v>
      </c>
      <c r="D24" s="6">
        <v>25</v>
      </c>
      <c r="E24" s="6">
        <v>15</v>
      </c>
      <c r="F24" s="7">
        <f t="shared" si="0"/>
        <v>25</v>
      </c>
      <c r="H24" s="15" t="s">
        <v>5</v>
      </c>
      <c r="I24" s="5">
        <v>1</v>
      </c>
      <c r="J24" s="6">
        <v>30</v>
      </c>
      <c r="K24" s="6">
        <v>20</v>
      </c>
      <c r="L24" s="6">
        <v>10</v>
      </c>
      <c r="M24" s="8">
        <f t="shared" si="1"/>
        <v>20</v>
      </c>
      <c r="O24" s="15" t="s">
        <v>5</v>
      </c>
      <c r="P24" s="5">
        <v>1</v>
      </c>
      <c r="Q24" s="6"/>
      <c r="R24" s="6"/>
      <c r="S24" s="6"/>
      <c r="T24" s="8">
        <f t="shared" si="2"/>
        <v>0</v>
      </c>
    </row>
    <row r="25" spans="1:20" ht="13.2" x14ac:dyDescent="0.25">
      <c r="A25" s="16"/>
      <c r="B25" s="9">
        <v>2</v>
      </c>
      <c r="C25">
        <v>70</v>
      </c>
      <c r="D25">
        <v>85</v>
      </c>
      <c r="E25">
        <v>95</v>
      </c>
      <c r="F25" s="7">
        <f t="shared" si="0"/>
        <v>84.166666666666671</v>
      </c>
      <c r="H25" s="16"/>
      <c r="I25" s="9">
        <v>2</v>
      </c>
      <c r="J25" s="2">
        <v>40</v>
      </c>
      <c r="K25" s="2">
        <v>60</v>
      </c>
      <c r="L25" s="2">
        <v>80</v>
      </c>
      <c r="M25" s="7">
        <f t="shared" si="1"/>
        <v>60</v>
      </c>
      <c r="O25" s="16"/>
      <c r="P25" s="9">
        <v>2</v>
      </c>
      <c r="T25" s="8">
        <f t="shared" si="2"/>
        <v>0</v>
      </c>
    </row>
    <row r="26" spans="1:20" ht="13.2" x14ac:dyDescent="0.25">
      <c r="A26" s="16"/>
      <c r="B26" s="9">
        <v>3</v>
      </c>
      <c r="C26">
        <v>40</v>
      </c>
      <c r="D26">
        <v>30</v>
      </c>
      <c r="E26">
        <v>20</v>
      </c>
      <c r="F26" s="7">
        <f t="shared" si="0"/>
        <v>30</v>
      </c>
      <c r="H26" s="16"/>
      <c r="I26" s="9">
        <v>3</v>
      </c>
      <c r="J26" s="2">
        <v>30</v>
      </c>
      <c r="K26" s="2">
        <v>20</v>
      </c>
      <c r="L26" s="2">
        <v>10</v>
      </c>
      <c r="M26" s="7">
        <f t="shared" si="1"/>
        <v>20</v>
      </c>
      <c r="O26" s="16"/>
      <c r="P26" s="9">
        <v>3</v>
      </c>
      <c r="T26" s="8">
        <f t="shared" si="2"/>
        <v>0</v>
      </c>
    </row>
    <row r="27" spans="1:20" ht="13.2" x14ac:dyDescent="0.25">
      <c r="A27" s="16"/>
      <c r="B27" s="9">
        <v>4</v>
      </c>
      <c r="C27">
        <v>35</v>
      </c>
      <c r="D27">
        <v>25</v>
      </c>
      <c r="E27">
        <v>15</v>
      </c>
      <c r="F27" s="7">
        <f t="shared" si="0"/>
        <v>25</v>
      </c>
      <c r="H27" s="16"/>
      <c r="I27" s="9">
        <v>4</v>
      </c>
      <c r="J27" s="2">
        <v>20</v>
      </c>
      <c r="K27" s="2">
        <v>10</v>
      </c>
      <c r="L27" s="2">
        <v>5</v>
      </c>
      <c r="M27" s="7">
        <f t="shared" si="1"/>
        <v>10.833333333333334</v>
      </c>
      <c r="O27" s="16"/>
      <c r="P27" s="9">
        <v>4</v>
      </c>
      <c r="T27" s="8">
        <f t="shared" si="2"/>
        <v>0</v>
      </c>
    </row>
    <row r="28" spans="1:20" ht="13.2" x14ac:dyDescent="0.25">
      <c r="A28" s="17"/>
      <c r="B28" s="10">
        <v>5</v>
      </c>
      <c r="C28" s="11">
        <v>55</v>
      </c>
      <c r="D28" s="11">
        <v>70</v>
      </c>
      <c r="E28" s="11">
        <v>85</v>
      </c>
      <c r="F28" s="12">
        <f t="shared" si="0"/>
        <v>70</v>
      </c>
      <c r="H28" s="17"/>
      <c r="I28" s="10">
        <v>5</v>
      </c>
      <c r="J28" s="11">
        <v>40</v>
      </c>
      <c r="K28" s="11">
        <v>55</v>
      </c>
      <c r="L28" s="11">
        <v>70</v>
      </c>
      <c r="M28" s="12">
        <f t="shared" si="1"/>
        <v>55</v>
      </c>
      <c r="O28" s="17"/>
      <c r="P28" s="10">
        <v>5</v>
      </c>
      <c r="Q28" s="11"/>
      <c r="R28" s="11"/>
      <c r="S28" s="11"/>
      <c r="T28" s="8">
        <f t="shared" si="2"/>
        <v>0</v>
      </c>
    </row>
    <row r="29" spans="1:20" ht="13.2" x14ac:dyDescent="0.25">
      <c r="A29" s="15" t="s">
        <v>8</v>
      </c>
      <c r="B29" s="5">
        <v>1</v>
      </c>
      <c r="C29" s="6">
        <v>45</v>
      </c>
      <c r="D29" s="6">
        <v>35</v>
      </c>
      <c r="E29" s="6">
        <v>25</v>
      </c>
      <c r="F29" s="7">
        <f t="shared" si="0"/>
        <v>35</v>
      </c>
      <c r="H29" s="15" t="s">
        <v>8</v>
      </c>
      <c r="I29" s="5">
        <v>1</v>
      </c>
      <c r="J29" s="6">
        <v>25</v>
      </c>
      <c r="K29" s="6">
        <v>20</v>
      </c>
      <c r="L29" s="6">
        <v>15</v>
      </c>
      <c r="M29" s="8">
        <f t="shared" si="1"/>
        <v>20</v>
      </c>
      <c r="O29" s="15" t="s">
        <v>8</v>
      </c>
      <c r="P29" s="5">
        <v>1</v>
      </c>
      <c r="Q29" s="6"/>
      <c r="R29" s="6"/>
      <c r="S29" s="6"/>
      <c r="T29" s="8">
        <f t="shared" si="2"/>
        <v>0</v>
      </c>
    </row>
    <row r="30" spans="1:20" ht="13.2" x14ac:dyDescent="0.25">
      <c r="A30" s="16"/>
      <c r="B30" s="9">
        <v>2</v>
      </c>
      <c r="C30">
        <v>65</v>
      </c>
      <c r="D30">
        <v>80</v>
      </c>
      <c r="E30">
        <v>90</v>
      </c>
      <c r="F30" s="7">
        <f t="shared" si="0"/>
        <v>79.166666666666671</v>
      </c>
      <c r="H30" s="16"/>
      <c r="I30" s="9">
        <v>2</v>
      </c>
      <c r="J30" s="2">
        <v>50</v>
      </c>
      <c r="K30" s="2">
        <v>70</v>
      </c>
      <c r="L30" s="2">
        <v>85</v>
      </c>
      <c r="M30" s="7">
        <f t="shared" si="1"/>
        <v>69.166666666666671</v>
      </c>
      <c r="O30" s="16"/>
      <c r="P30" s="9">
        <v>2</v>
      </c>
      <c r="T30" s="8">
        <f t="shared" si="2"/>
        <v>0</v>
      </c>
    </row>
    <row r="31" spans="1:20" ht="13.2" x14ac:dyDescent="0.25">
      <c r="A31" s="16"/>
      <c r="B31" s="9">
        <v>3</v>
      </c>
      <c r="C31">
        <v>50</v>
      </c>
      <c r="D31">
        <v>40</v>
      </c>
      <c r="E31">
        <v>30</v>
      </c>
      <c r="F31" s="7">
        <f t="shared" si="0"/>
        <v>40</v>
      </c>
      <c r="H31" s="16"/>
      <c r="I31" s="9">
        <v>3</v>
      </c>
      <c r="J31" s="2">
        <v>30</v>
      </c>
      <c r="K31" s="2">
        <v>20</v>
      </c>
      <c r="L31" s="2">
        <v>15</v>
      </c>
      <c r="M31" s="7">
        <f t="shared" si="1"/>
        <v>20.833333333333332</v>
      </c>
      <c r="O31" s="16"/>
      <c r="P31" s="9">
        <v>3</v>
      </c>
      <c r="T31" s="8">
        <f t="shared" si="2"/>
        <v>0</v>
      </c>
    </row>
    <row r="32" spans="1:20" ht="13.2" x14ac:dyDescent="0.25">
      <c r="A32" s="16"/>
      <c r="B32" s="9">
        <v>4</v>
      </c>
      <c r="C32">
        <v>45</v>
      </c>
      <c r="D32">
        <v>35</v>
      </c>
      <c r="E32">
        <v>25</v>
      </c>
      <c r="F32" s="7">
        <f t="shared" si="0"/>
        <v>35</v>
      </c>
      <c r="H32" s="16"/>
      <c r="I32" s="9">
        <v>4</v>
      </c>
      <c r="J32" s="2">
        <v>20</v>
      </c>
      <c r="K32" s="2">
        <v>10</v>
      </c>
      <c r="L32" s="2">
        <v>5</v>
      </c>
      <c r="M32" s="7">
        <f t="shared" si="1"/>
        <v>10.833333333333334</v>
      </c>
      <c r="O32" s="16"/>
      <c r="P32" s="9">
        <v>4</v>
      </c>
      <c r="T32" s="8">
        <f t="shared" si="2"/>
        <v>0</v>
      </c>
    </row>
    <row r="33" spans="1:20" ht="13.2" x14ac:dyDescent="0.25">
      <c r="A33" s="17"/>
      <c r="B33" s="10">
        <v>5</v>
      </c>
      <c r="C33" s="11">
        <v>65</v>
      </c>
      <c r="D33" s="11">
        <v>80</v>
      </c>
      <c r="E33" s="11">
        <v>90</v>
      </c>
      <c r="F33" s="12">
        <f t="shared" si="0"/>
        <v>79.166666666666671</v>
      </c>
      <c r="H33" s="17"/>
      <c r="I33" s="10">
        <v>5</v>
      </c>
      <c r="J33" s="11">
        <v>55</v>
      </c>
      <c r="K33" s="11">
        <v>70</v>
      </c>
      <c r="L33" s="11">
        <v>85</v>
      </c>
      <c r="M33" s="12">
        <f t="shared" si="1"/>
        <v>70</v>
      </c>
      <c r="O33" s="17"/>
      <c r="P33" s="10">
        <v>5</v>
      </c>
      <c r="Q33" s="11"/>
      <c r="R33" s="11"/>
      <c r="S33" s="11"/>
      <c r="T33" s="8">
        <f t="shared" si="2"/>
        <v>0</v>
      </c>
    </row>
    <row r="34" spans="1:20" ht="13.2" x14ac:dyDescent="0.25">
      <c r="A34" s="15" t="s">
        <v>11</v>
      </c>
      <c r="B34" s="5">
        <v>1</v>
      </c>
      <c r="C34" s="6">
        <v>25</v>
      </c>
      <c r="D34" s="6">
        <v>20</v>
      </c>
      <c r="E34" s="6">
        <v>10</v>
      </c>
      <c r="F34" s="7">
        <f t="shared" si="0"/>
        <v>19.166666666666668</v>
      </c>
      <c r="H34" s="15" t="s">
        <v>11</v>
      </c>
      <c r="I34" s="5">
        <v>1</v>
      </c>
      <c r="J34" s="6">
        <v>15</v>
      </c>
      <c r="K34" s="6">
        <v>10</v>
      </c>
      <c r="L34" s="6">
        <v>5</v>
      </c>
      <c r="M34" s="8">
        <f t="shared" si="1"/>
        <v>10</v>
      </c>
      <c r="O34" s="15" t="s">
        <v>11</v>
      </c>
      <c r="P34" s="5">
        <v>1</v>
      </c>
      <c r="Q34" s="6"/>
      <c r="R34" s="6"/>
      <c r="S34" s="6"/>
      <c r="T34" s="8">
        <f t="shared" si="2"/>
        <v>0</v>
      </c>
    </row>
    <row r="35" spans="1:20" ht="13.2" x14ac:dyDescent="0.25">
      <c r="A35" s="16"/>
      <c r="B35" s="9">
        <v>2</v>
      </c>
      <c r="C35">
        <v>30</v>
      </c>
      <c r="D35">
        <v>45</v>
      </c>
      <c r="E35">
        <v>60</v>
      </c>
      <c r="F35" s="7">
        <f t="shared" si="0"/>
        <v>45</v>
      </c>
      <c r="H35" s="16"/>
      <c r="I35" s="9">
        <v>2</v>
      </c>
      <c r="J35" s="2">
        <v>10</v>
      </c>
      <c r="K35" s="2">
        <v>20</v>
      </c>
      <c r="L35" s="2">
        <v>35</v>
      </c>
      <c r="M35" s="7">
        <f t="shared" si="1"/>
        <v>20.833333333333332</v>
      </c>
      <c r="O35" s="16"/>
      <c r="P35" s="9">
        <v>2</v>
      </c>
      <c r="T35" s="8">
        <f t="shared" si="2"/>
        <v>0</v>
      </c>
    </row>
    <row r="36" spans="1:20" ht="13.2" x14ac:dyDescent="0.25">
      <c r="A36" s="16"/>
      <c r="B36" s="9">
        <v>3</v>
      </c>
      <c r="C36">
        <v>30</v>
      </c>
      <c r="D36">
        <v>20</v>
      </c>
      <c r="E36">
        <v>15</v>
      </c>
      <c r="F36" s="7">
        <f t="shared" si="0"/>
        <v>20.833333333333332</v>
      </c>
      <c r="H36" s="16"/>
      <c r="I36" s="9">
        <v>3</v>
      </c>
      <c r="J36" s="2">
        <v>15</v>
      </c>
      <c r="K36" s="2">
        <v>10</v>
      </c>
      <c r="L36" s="2">
        <v>5</v>
      </c>
      <c r="M36" s="7">
        <f t="shared" si="1"/>
        <v>10</v>
      </c>
      <c r="O36" s="16"/>
      <c r="P36" s="9">
        <v>3</v>
      </c>
      <c r="T36" s="8">
        <f t="shared" si="2"/>
        <v>0</v>
      </c>
    </row>
    <row r="37" spans="1:20" ht="13.2" x14ac:dyDescent="0.25">
      <c r="A37" s="16"/>
      <c r="B37" s="9">
        <v>4</v>
      </c>
      <c r="C37">
        <v>25</v>
      </c>
      <c r="D37">
        <v>15</v>
      </c>
      <c r="E37">
        <v>10</v>
      </c>
      <c r="F37" s="7">
        <f t="shared" si="0"/>
        <v>15.833333333333334</v>
      </c>
      <c r="H37" s="16"/>
      <c r="I37" s="9">
        <v>4</v>
      </c>
      <c r="J37" s="2">
        <v>10</v>
      </c>
      <c r="K37" s="2">
        <v>5</v>
      </c>
      <c r="L37" s="2">
        <v>1</v>
      </c>
      <c r="M37" s="7">
        <f t="shared" si="1"/>
        <v>5.166666666666667</v>
      </c>
      <c r="O37" s="16"/>
      <c r="P37" s="9">
        <v>4</v>
      </c>
      <c r="T37" s="8">
        <f t="shared" si="2"/>
        <v>0</v>
      </c>
    </row>
    <row r="38" spans="1:20" ht="13.2" x14ac:dyDescent="0.25">
      <c r="A38" s="17"/>
      <c r="B38" s="10">
        <v>5</v>
      </c>
      <c r="C38" s="11">
        <v>35</v>
      </c>
      <c r="D38" s="11">
        <v>50</v>
      </c>
      <c r="E38" s="11">
        <v>65</v>
      </c>
      <c r="F38" s="12">
        <f t="shared" si="0"/>
        <v>50</v>
      </c>
      <c r="H38" s="17"/>
      <c r="I38" s="10">
        <v>5</v>
      </c>
      <c r="J38" s="11">
        <v>20</v>
      </c>
      <c r="K38" s="11">
        <v>35</v>
      </c>
      <c r="L38" s="11">
        <v>50</v>
      </c>
      <c r="M38" s="12">
        <f t="shared" si="1"/>
        <v>35</v>
      </c>
      <c r="O38" s="17"/>
      <c r="P38" s="10">
        <v>5</v>
      </c>
      <c r="Q38" s="11"/>
      <c r="R38" s="11"/>
      <c r="S38" s="11"/>
      <c r="T38" s="8">
        <f t="shared" si="2"/>
        <v>0</v>
      </c>
    </row>
    <row r="39" spans="1:20" ht="13.2" x14ac:dyDescent="0.25">
      <c r="A39" s="15" t="s">
        <v>13</v>
      </c>
      <c r="B39" s="5">
        <v>1</v>
      </c>
      <c r="C39" s="6">
        <v>70</v>
      </c>
      <c r="D39" s="6">
        <v>55</v>
      </c>
      <c r="E39" s="6">
        <v>40</v>
      </c>
      <c r="F39" s="7">
        <f t="shared" si="0"/>
        <v>55</v>
      </c>
      <c r="H39" s="15" t="s">
        <v>13</v>
      </c>
      <c r="I39" s="5">
        <v>1</v>
      </c>
      <c r="J39" s="6">
        <v>70</v>
      </c>
      <c r="K39" s="6">
        <v>55</v>
      </c>
      <c r="L39" s="6">
        <v>40</v>
      </c>
      <c r="M39" s="8">
        <f t="shared" si="1"/>
        <v>55</v>
      </c>
      <c r="O39" s="15" t="s">
        <v>13</v>
      </c>
      <c r="P39" s="5">
        <v>1</v>
      </c>
      <c r="Q39" s="6"/>
      <c r="R39" s="6"/>
      <c r="S39" s="6"/>
      <c r="T39" s="8">
        <f t="shared" si="2"/>
        <v>0</v>
      </c>
    </row>
    <row r="40" spans="1:20" ht="13.2" x14ac:dyDescent="0.25">
      <c r="A40" s="16"/>
      <c r="B40" s="9">
        <v>2</v>
      </c>
      <c r="C40">
        <v>75</v>
      </c>
      <c r="D40">
        <v>85</v>
      </c>
      <c r="E40">
        <v>95</v>
      </c>
      <c r="F40" s="7">
        <f t="shared" si="0"/>
        <v>85</v>
      </c>
      <c r="H40" s="16"/>
      <c r="I40" s="9">
        <v>2</v>
      </c>
      <c r="J40" s="2">
        <v>40</v>
      </c>
      <c r="K40" s="2">
        <v>60</v>
      </c>
      <c r="L40" s="2">
        <v>75</v>
      </c>
      <c r="M40" s="7">
        <f t="shared" si="1"/>
        <v>59.166666666666664</v>
      </c>
      <c r="O40" s="16"/>
      <c r="P40" s="9">
        <v>2</v>
      </c>
      <c r="T40" s="8">
        <f t="shared" si="2"/>
        <v>0</v>
      </c>
    </row>
    <row r="41" spans="1:20" ht="13.2" x14ac:dyDescent="0.25">
      <c r="A41" s="16"/>
      <c r="B41" s="9">
        <v>3</v>
      </c>
      <c r="C41">
        <v>75</v>
      </c>
      <c r="D41">
        <v>60</v>
      </c>
      <c r="E41">
        <v>45</v>
      </c>
      <c r="F41" s="7">
        <f t="shared" si="0"/>
        <v>60</v>
      </c>
      <c r="H41" s="16"/>
      <c r="I41" s="9">
        <v>3</v>
      </c>
      <c r="J41" s="2">
        <v>60</v>
      </c>
      <c r="K41" s="2">
        <v>40</v>
      </c>
      <c r="L41" s="2">
        <v>25</v>
      </c>
      <c r="M41" s="7">
        <f t="shared" si="1"/>
        <v>40.833333333333336</v>
      </c>
      <c r="O41" s="16"/>
      <c r="P41" s="9">
        <v>3</v>
      </c>
      <c r="T41" s="8">
        <f t="shared" si="2"/>
        <v>0</v>
      </c>
    </row>
    <row r="42" spans="1:20" ht="13.2" x14ac:dyDescent="0.25">
      <c r="A42" s="16"/>
      <c r="B42" s="9">
        <v>4</v>
      </c>
      <c r="C42">
        <v>70</v>
      </c>
      <c r="D42">
        <v>55</v>
      </c>
      <c r="E42">
        <v>40</v>
      </c>
      <c r="F42" s="7">
        <f t="shared" si="0"/>
        <v>55</v>
      </c>
      <c r="H42" s="16"/>
      <c r="I42" s="9">
        <v>4</v>
      </c>
      <c r="J42" s="2">
        <v>60</v>
      </c>
      <c r="K42" s="2">
        <v>40</v>
      </c>
      <c r="L42" s="2">
        <v>25</v>
      </c>
      <c r="M42" s="7">
        <f t="shared" si="1"/>
        <v>40.833333333333336</v>
      </c>
      <c r="O42" s="16"/>
      <c r="P42" s="9">
        <v>4</v>
      </c>
      <c r="T42" s="8">
        <f t="shared" si="2"/>
        <v>0</v>
      </c>
    </row>
    <row r="43" spans="1:20" ht="13.2" x14ac:dyDescent="0.25">
      <c r="A43" s="17"/>
      <c r="B43" s="10">
        <v>5</v>
      </c>
      <c r="C43" s="11">
        <v>70</v>
      </c>
      <c r="D43" s="11">
        <v>85</v>
      </c>
      <c r="E43" s="11">
        <v>95</v>
      </c>
      <c r="F43" s="12">
        <f t="shared" si="0"/>
        <v>84.166666666666671</v>
      </c>
      <c r="H43" s="17"/>
      <c r="I43" s="10">
        <v>5</v>
      </c>
      <c r="J43" s="11">
        <v>50</v>
      </c>
      <c r="K43" s="11">
        <v>70</v>
      </c>
      <c r="L43" s="11">
        <v>85</v>
      </c>
      <c r="M43" s="12">
        <f t="shared" si="1"/>
        <v>69.166666666666671</v>
      </c>
      <c r="O43" s="17"/>
      <c r="P43" s="10">
        <v>5</v>
      </c>
      <c r="Q43" s="11"/>
      <c r="R43" s="11"/>
      <c r="S43" s="11"/>
      <c r="T43" s="19">
        <f t="shared" si="2"/>
        <v>0</v>
      </c>
    </row>
  </sheetData>
  <mergeCells count="19">
    <mergeCell ref="A29:A33"/>
    <mergeCell ref="A34:A38"/>
    <mergeCell ref="H34:H38"/>
    <mergeCell ref="A16:K16"/>
    <mergeCell ref="H29:H33"/>
    <mergeCell ref="O29:O33"/>
    <mergeCell ref="O34:O38"/>
    <mergeCell ref="O39:O43"/>
    <mergeCell ref="A39:A43"/>
    <mergeCell ref="H39:H43"/>
    <mergeCell ref="O19:O23"/>
    <mergeCell ref="H17:M17"/>
    <mergeCell ref="A19:A23"/>
    <mergeCell ref="A17:F17"/>
    <mergeCell ref="O17:T17"/>
    <mergeCell ref="H19:H23"/>
    <mergeCell ref="O24:O28"/>
    <mergeCell ref="A24:A28"/>
    <mergeCell ref="H24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Гагик Асатрян</cp:lastModifiedBy>
  <dcterms:modified xsi:type="dcterms:W3CDTF">2025-12-17T01:41:44Z</dcterms:modified>
</cp:coreProperties>
</file>